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ortfolio\documents\"/>
    </mc:Choice>
  </mc:AlternateContent>
  <xr:revisionPtr revIDLastSave="0" documentId="8_{C19028AA-D36B-4616-AB48-6F1DA69241DF}" xr6:coauthVersionLast="47" xr6:coauthVersionMax="47" xr10:uidLastSave="{00000000-0000-0000-0000-000000000000}"/>
  <bookViews>
    <workbookView xWindow="-120" yWindow="-120" windowWidth="29040" windowHeight="15720" xr2:uid="{248E1433-70CD-4A87-AD5C-F1D1625ED1EC}"/>
  </bookViews>
  <sheets>
    <sheet name="Part-1" sheetId="1" r:id="rId1"/>
    <sheet name="Part-2" sheetId="2" r:id="rId2"/>
    <sheet name="Part-3" sheetId="3" r:id="rId3"/>
    <sheet name="Part-4" sheetId="4" r:id="rId4"/>
    <sheet name="Part-5" sheetId="5" r:id="rId5"/>
    <sheet name="Part-7" sheetId="6" r:id="rId6"/>
    <sheet name="Part-8" sheetId="7" r:id="rId7"/>
    <sheet name="Part-9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4" l="1"/>
  <c r="E15" i="5"/>
  <c r="C7" i="3"/>
  <c r="E14" i="5"/>
  <c r="D14" i="5"/>
  <c r="I14" i="5"/>
  <c r="G10" i="5"/>
  <c r="E10" i="5"/>
  <c r="I10" i="5"/>
  <c r="H16" i="4"/>
  <c r="I16" i="4" s="1"/>
  <c r="F11" i="3"/>
  <c r="G10" i="4"/>
  <c r="F10" i="3"/>
  <c r="H9" i="4"/>
  <c r="F18" i="2"/>
  <c r="F18" i="3"/>
  <c r="C19" i="3"/>
  <c r="F17" i="2"/>
  <c r="C16" i="2"/>
  <c r="E16" i="8"/>
  <c r="D16" i="8"/>
  <c r="D15" i="8"/>
  <c r="C11" i="8"/>
  <c r="C10" i="8"/>
  <c r="E11" i="8"/>
  <c r="E10" i="8"/>
  <c r="D9" i="8"/>
  <c r="D10" i="8"/>
  <c r="D11" i="8"/>
  <c r="F11" i="8"/>
  <c r="E15" i="8"/>
  <c r="F10" i="8"/>
  <c r="C15" i="8"/>
  <c r="D14" i="8"/>
  <c r="C14" i="8"/>
  <c r="C9" i="8"/>
  <c r="F9" i="8"/>
  <c r="F14" i="8" s="1"/>
  <c r="E9" i="8"/>
  <c r="E14" i="8" s="1"/>
  <c r="L4" i="7"/>
  <c r="M4" i="7" s="1" a="1"/>
  <c r="M4" i="7" s="1"/>
  <c r="C16" i="7"/>
  <c r="D12" i="7" s="1"/>
  <c r="F6" i="6"/>
  <c r="G6" i="6" s="1"/>
  <c r="H6" i="6" s="1"/>
  <c r="F7" i="6"/>
  <c r="F8" i="6"/>
  <c r="F9" i="6" s="1"/>
  <c r="H5" i="6"/>
  <c r="G5" i="6"/>
  <c r="F5" i="6"/>
  <c r="D7" i="6"/>
  <c r="G4" i="6"/>
  <c r="H4" i="6"/>
  <c r="I6" i="5"/>
  <c r="I7" i="5"/>
  <c r="I8" i="5"/>
  <c r="I9" i="5"/>
  <c r="I11" i="5"/>
  <c r="I12" i="5"/>
  <c r="I13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5" i="5"/>
  <c r="H67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5" i="5"/>
  <c r="G5" i="5"/>
  <c r="H7" i="4"/>
  <c r="I7" i="4" s="1"/>
  <c r="G6" i="5"/>
  <c r="G7" i="5"/>
  <c r="G8" i="5"/>
  <c r="G9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7" i="4"/>
  <c r="I8" i="4"/>
  <c r="I9" i="4"/>
  <c r="I10" i="4"/>
  <c r="I11" i="4"/>
  <c r="I12" i="4"/>
  <c r="I13" i="4"/>
  <c r="I14" i="4"/>
  <c r="I15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H8" i="4"/>
  <c r="H10" i="4"/>
  <c r="H11" i="4"/>
  <c r="H12" i="4"/>
  <c r="H13" i="4"/>
  <c r="H14" i="4"/>
  <c r="H15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G8" i="4"/>
  <c r="G9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D5" i="5"/>
  <c r="F5" i="5" s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E6" i="5"/>
  <c r="E7" i="5"/>
  <c r="E8" i="5"/>
  <c r="E9" i="5"/>
  <c r="E11" i="5"/>
  <c r="E12" i="5"/>
  <c r="E13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D6" i="5"/>
  <c r="D7" i="5"/>
  <c r="D8" i="5"/>
  <c r="D9" i="5"/>
  <c r="D10" i="5"/>
  <c r="D11" i="5"/>
  <c r="D12" i="5"/>
  <c r="D13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E5" i="5"/>
  <c r="C5" i="3"/>
  <c r="C15" i="5" a="1"/>
  <c r="F7" i="2"/>
  <c r="F6" i="2"/>
  <c r="F6" i="3"/>
  <c r="F5" i="3"/>
  <c r="F4" i="4"/>
  <c r="D12" i="4" s="1"/>
  <c r="E8" i="4"/>
  <c r="E9" i="4"/>
  <c r="E10" i="4"/>
  <c r="E11" i="4"/>
  <c r="E13" i="4"/>
  <c r="E14" i="4"/>
  <c r="E15" i="4"/>
  <c r="E16" i="4"/>
  <c r="E7" i="4"/>
  <c r="F11" i="2"/>
  <c r="F10" i="2"/>
  <c r="F5" i="2"/>
  <c r="C17" i="4" a="1"/>
  <c r="F7" i="3"/>
  <c r="F8" i="3"/>
  <c r="F9" i="3"/>
  <c r="F12" i="3"/>
  <c r="F13" i="3"/>
  <c r="F14" i="3"/>
  <c r="F15" i="3"/>
  <c r="F16" i="3"/>
  <c r="F17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E15" i="3"/>
  <c r="E24" i="3" s="1" a="1"/>
  <c r="E15" i="3" a="1"/>
  <c r="C6" i="3"/>
  <c r="C8" i="3"/>
  <c r="C9" i="3"/>
  <c r="C10" i="3"/>
  <c r="C11" i="3"/>
  <c r="C12" i="3"/>
  <c r="C13" i="3"/>
  <c r="C14" i="3"/>
  <c r="C15" i="3"/>
  <c r="C16" i="3"/>
  <c r="C17" i="3"/>
  <c r="C18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B15" i="3"/>
  <c r="B24" i="3" s="1" a="1"/>
  <c r="B15" i="3" a="1"/>
  <c r="F8" i="2"/>
  <c r="F9" i="2"/>
  <c r="F12" i="2"/>
  <c r="F13" i="2"/>
  <c r="F14" i="2"/>
  <c r="F15" i="2"/>
  <c r="F16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E15" i="2" a="1"/>
  <c r="E15" i="2" s="1"/>
  <c r="E24" i="2" s="1" a="1"/>
  <c r="E24" i="2" s="1"/>
  <c r="E33" i="2" s="1" a="1"/>
  <c r="E33" i="2" s="1"/>
  <c r="E42" i="2" s="1" a="1"/>
  <c r="E42" i="2" s="1"/>
  <c r="E51" i="2" s="1" a="1"/>
  <c r="E51" i="2" s="1"/>
  <c r="E60" i="2" s="1" a="1"/>
  <c r="E60" i="2" s="1"/>
  <c r="C67" i="2"/>
  <c r="C6" i="2"/>
  <c r="C7" i="2"/>
  <c r="C8" i="2"/>
  <c r="C9" i="2"/>
  <c r="C10" i="2"/>
  <c r="C11" i="2"/>
  <c r="C12" i="2"/>
  <c r="C13" i="2"/>
  <c r="C14" i="2"/>
  <c r="C1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5" i="2"/>
  <c r="B15" i="2" a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5" i="1"/>
  <c r="B60" i="1" a="1"/>
  <c r="B60" i="1" s="1"/>
  <c r="B51" i="1" a="1"/>
  <c r="B51" i="1" s="1"/>
  <c r="B42" i="1" a="1"/>
  <c r="B42" i="1" s="1"/>
  <c r="B33" i="1" a="1"/>
  <c r="B33" i="1" s="1"/>
  <c r="B24" i="1" a="1"/>
  <c r="B24" i="1" s="1"/>
  <c r="B15" i="1" a="1"/>
  <c r="B15" i="1" s="1"/>
  <c r="N4" i="7"/>
  <c r="C16" i="8" l="1"/>
  <c r="F16" i="8"/>
  <c r="F15" i="8"/>
  <c r="D11" i="7"/>
  <c r="D10" i="7"/>
  <c r="D4" i="7"/>
  <c r="D9" i="7"/>
  <c r="D16" i="7"/>
  <c r="D8" i="7"/>
  <c r="D15" i="7"/>
  <c r="D7" i="7"/>
  <c r="D14" i="7"/>
  <c r="D6" i="7"/>
  <c r="D13" i="7"/>
  <c r="D5" i="7"/>
  <c r="F10" i="6"/>
  <c r="G7" i="6"/>
  <c r="H7" i="6" s="1"/>
  <c r="C15" i="5"/>
  <c r="E18" i="4"/>
  <c r="E25" i="4"/>
  <c r="E24" i="4"/>
  <c r="E23" i="4"/>
  <c r="D20" i="4"/>
  <c r="E22" i="4"/>
  <c r="E21" i="4"/>
  <c r="E20" i="4"/>
  <c r="F20" i="4" s="1"/>
  <c r="E19" i="4"/>
  <c r="D19" i="4"/>
  <c r="D11" i="4"/>
  <c r="F11" i="4" s="1"/>
  <c r="D8" i="4"/>
  <c r="F8" i="4" s="1"/>
  <c r="D10" i="4"/>
  <c r="F10" i="4" s="1"/>
  <c r="D25" i="4"/>
  <c r="F25" i="4" s="1"/>
  <c r="D15" i="4"/>
  <c r="F15" i="4" s="1"/>
  <c r="D23" i="4"/>
  <c r="D14" i="4"/>
  <c r="F14" i="4" s="1"/>
  <c r="D18" i="4"/>
  <c r="F18" i="4" s="1"/>
  <c r="D7" i="4"/>
  <c r="F7" i="4" s="1"/>
  <c r="D22" i="4"/>
  <c r="F22" i="4" s="1"/>
  <c r="D13" i="4"/>
  <c r="F13" i="4" s="1"/>
  <c r="D9" i="4"/>
  <c r="D21" i="4"/>
  <c r="F9" i="4"/>
  <c r="F12" i="4"/>
  <c r="D24" i="4"/>
  <c r="D16" i="4"/>
  <c r="F16" i="4" s="1"/>
  <c r="C17" i="4"/>
  <c r="D17" i="4" s="1"/>
  <c r="E24" i="3"/>
  <c r="B24" i="3"/>
  <c r="B15" i="2"/>
  <c r="I8" i="8" l="1"/>
  <c r="I3" i="8" s="1"/>
  <c r="F11" i="6"/>
  <c r="G8" i="6"/>
  <c r="C24" i="5" a="1"/>
  <c r="F19" i="4"/>
  <c r="F23" i="4"/>
  <c r="F21" i="4"/>
  <c r="F24" i="4"/>
  <c r="E17" i="4"/>
  <c r="F17" i="4" s="1"/>
  <c r="C26" i="4" a="1"/>
  <c r="E33" i="3" a="1"/>
  <c r="B33" i="3" a="1"/>
  <c r="B24" i="2" a="1"/>
  <c r="I5" i="8" l="1"/>
  <c r="I4" i="8" s="1"/>
  <c r="H8" i="6"/>
  <c r="G9" i="6"/>
  <c r="F12" i="6"/>
  <c r="C24" i="5"/>
  <c r="E27" i="4"/>
  <c r="E28" i="4"/>
  <c r="E29" i="4"/>
  <c r="E30" i="4"/>
  <c r="E31" i="4"/>
  <c r="D27" i="4"/>
  <c r="F27" i="4" s="1"/>
  <c r="E32" i="4"/>
  <c r="D28" i="4"/>
  <c r="E33" i="4"/>
  <c r="E34" i="4"/>
  <c r="D32" i="4"/>
  <c r="D30" i="4"/>
  <c r="F30" i="4" s="1"/>
  <c r="D29" i="4"/>
  <c r="D34" i="4"/>
  <c r="D33" i="4"/>
  <c r="D31" i="4"/>
  <c r="C26" i="4"/>
  <c r="E33" i="3"/>
  <c r="B33" i="3"/>
  <c r="B24" i="2"/>
  <c r="F13" i="6" l="1"/>
  <c r="H9" i="6"/>
  <c r="G10" i="6"/>
  <c r="C33" i="5" a="1"/>
  <c r="F29" i="4"/>
  <c r="F32" i="4"/>
  <c r="E26" i="4"/>
  <c r="D26" i="4"/>
  <c r="F26" i="4" s="1"/>
  <c r="F33" i="4"/>
  <c r="F28" i="4"/>
  <c r="F31" i="4"/>
  <c r="F34" i="4"/>
  <c r="C35" i="4" a="1"/>
  <c r="E42" i="3" a="1"/>
  <c r="B42" i="3" a="1"/>
  <c r="B33" i="2" a="1"/>
  <c r="F14" i="6" l="1"/>
  <c r="H10" i="6"/>
  <c r="G11" i="6"/>
  <c r="C33" i="5"/>
  <c r="E43" i="4"/>
  <c r="E36" i="4"/>
  <c r="E37" i="4"/>
  <c r="E38" i="4"/>
  <c r="E39" i="4"/>
  <c r="E40" i="4"/>
  <c r="E41" i="4"/>
  <c r="D36" i="4"/>
  <c r="E42" i="4"/>
  <c r="D40" i="4"/>
  <c r="D39" i="4"/>
  <c r="F39" i="4" s="1"/>
  <c r="D43" i="4"/>
  <c r="F43" i="4" s="1"/>
  <c r="D42" i="4"/>
  <c r="F42" i="4" s="1"/>
  <c r="D37" i="4"/>
  <c r="F37" i="4" s="1"/>
  <c r="D41" i="4"/>
  <c r="D38" i="4"/>
  <c r="F38" i="4" s="1"/>
  <c r="C35" i="4"/>
  <c r="E42" i="3"/>
  <c r="B42" i="3"/>
  <c r="B33" i="2"/>
  <c r="H11" i="6" l="1"/>
  <c r="G12" i="6"/>
  <c r="F15" i="6"/>
  <c r="C42" i="5" a="1"/>
  <c r="F41" i="4"/>
  <c r="F36" i="4"/>
  <c r="F40" i="4"/>
  <c r="E35" i="4"/>
  <c r="D35" i="4"/>
  <c r="F35" i="4" s="1"/>
  <c r="C44" i="4" a="1"/>
  <c r="E51" i="3" a="1"/>
  <c r="B51" i="3" a="1"/>
  <c r="B42" i="2" a="1"/>
  <c r="F16" i="6" l="1"/>
  <c r="H12" i="6"/>
  <c r="G13" i="6"/>
  <c r="C42" i="5"/>
  <c r="E51" i="4"/>
  <c r="D47" i="4"/>
  <c r="E52" i="4"/>
  <c r="E45" i="4"/>
  <c r="E46" i="4"/>
  <c r="E47" i="4"/>
  <c r="E48" i="4"/>
  <c r="E49" i="4"/>
  <c r="E50" i="4"/>
  <c r="D46" i="4"/>
  <c r="F46" i="4" s="1"/>
  <c r="D49" i="4"/>
  <c r="F49" i="4" s="1"/>
  <c r="D52" i="4"/>
  <c r="D51" i="4"/>
  <c r="F51" i="4" s="1"/>
  <c r="D50" i="4"/>
  <c r="F50" i="4" s="1"/>
  <c r="D45" i="4"/>
  <c r="D48" i="4"/>
  <c r="C44" i="4"/>
  <c r="E51" i="3"/>
  <c r="B51" i="3"/>
  <c r="B42" i="2"/>
  <c r="H13" i="6" l="1"/>
  <c r="G14" i="6"/>
  <c r="F17" i="6"/>
  <c r="C51" i="5" a="1"/>
  <c r="F52" i="4"/>
  <c r="F47" i="4"/>
  <c r="E44" i="4"/>
  <c r="D44" i="4"/>
  <c r="F44" i="4" s="1"/>
  <c r="F48" i="4"/>
  <c r="F45" i="4"/>
  <c r="C53" i="4" a="1"/>
  <c r="E60" i="3" a="1"/>
  <c r="B60" i="3" a="1"/>
  <c r="B51" i="2" a="1"/>
  <c r="F18" i="6" l="1"/>
  <c r="H14" i="6"/>
  <c r="G15" i="6"/>
  <c r="C51" i="5"/>
  <c r="E59" i="4"/>
  <c r="E60" i="4"/>
  <c r="D54" i="4"/>
  <c r="F54" i="4" s="1"/>
  <c r="E61" i="4"/>
  <c r="D57" i="4"/>
  <c r="E54" i="4"/>
  <c r="E55" i="4"/>
  <c r="E56" i="4"/>
  <c r="E57" i="4"/>
  <c r="E58" i="4"/>
  <c r="D61" i="4"/>
  <c r="D60" i="4"/>
  <c r="F60" i="4" s="1"/>
  <c r="D55" i="4"/>
  <c r="F55" i="4" s="1"/>
  <c r="D59" i="4"/>
  <c r="F59" i="4" s="1"/>
  <c r="D56" i="4"/>
  <c r="D58" i="4"/>
  <c r="C53" i="4"/>
  <c r="E60" i="3"/>
  <c r="B60" i="3"/>
  <c r="B51" i="2"/>
  <c r="H15" i="6" l="1"/>
  <c r="G16" i="6"/>
  <c r="F19" i="6"/>
  <c r="C60" i="5" a="1"/>
  <c r="F61" i="4"/>
  <c r="E53" i="4"/>
  <c r="D53" i="4"/>
  <c r="F53" i="4" s="1"/>
  <c r="F58" i="4"/>
  <c r="F57" i="4"/>
  <c r="F56" i="4"/>
  <c r="C62" i="4" a="1"/>
  <c r="B60" i="2" a="1"/>
  <c r="F20" i="6" l="1"/>
  <c r="H16" i="6"/>
  <c r="G17" i="6"/>
  <c r="C60" i="5"/>
  <c r="E67" i="4"/>
  <c r="E68" i="4"/>
  <c r="E69" i="4"/>
  <c r="E63" i="4"/>
  <c r="E64" i="4"/>
  <c r="E65" i="4"/>
  <c r="E66" i="4"/>
  <c r="D65" i="4"/>
  <c r="D69" i="4"/>
  <c r="D68" i="4"/>
  <c r="D63" i="4"/>
  <c r="D66" i="4"/>
  <c r="D64" i="4"/>
  <c r="F64" i="4" s="1"/>
  <c r="D67" i="4"/>
  <c r="F67" i="4" s="1"/>
  <c r="C62" i="4"/>
  <c r="B60" i="2"/>
  <c r="H17" i="6" l="1"/>
  <c r="G18" i="6"/>
  <c r="F21" i="6"/>
  <c r="F69" i="4"/>
  <c r="F63" i="4"/>
  <c r="E62" i="4"/>
  <c r="D62" i="4"/>
  <c r="F62" i="4" s="1"/>
  <c r="F66" i="4"/>
  <c r="F68" i="4"/>
  <c r="F65" i="4"/>
  <c r="F22" i="6" l="1"/>
  <c r="H18" i="6"/>
  <c r="G19" i="6"/>
  <c r="H19" i="6" l="1"/>
  <c r="G20" i="6"/>
  <c r="F23" i="6"/>
  <c r="F24" i="6" l="1"/>
  <c r="H20" i="6"/>
  <c r="G21" i="6"/>
  <c r="H21" i="6" l="1"/>
  <c r="G22" i="6"/>
  <c r="F25" i="6"/>
  <c r="F26" i="6" l="1"/>
  <c r="H22" i="6"/>
  <c r="G23" i="6"/>
  <c r="H23" i="6" l="1"/>
  <c r="G24" i="6"/>
  <c r="F27" i="6"/>
  <c r="F28" i="6" l="1"/>
  <c r="H24" i="6"/>
  <c r="G25" i="6"/>
  <c r="F29" i="6" l="1"/>
  <c r="H25" i="6"/>
  <c r="G26" i="6"/>
  <c r="H26" i="6" l="1"/>
  <c r="G27" i="6"/>
  <c r="F30" i="6"/>
  <c r="F31" i="6" l="1"/>
  <c r="H27" i="6"/>
  <c r="G28" i="6"/>
  <c r="H28" i="6" l="1"/>
  <c r="G29" i="6"/>
  <c r="F32" i="6"/>
  <c r="F33" i="6" l="1"/>
  <c r="H29" i="6"/>
  <c r="G30" i="6"/>
  <c r="H30" i="6" l="1"/>
  <c r="G31" i="6"/>
  <c r="F34" i="6"/>
  <c r="H31" i="6" l="1"/>
  <c r="G32" i="6"/>
  <c r="F35" i="6"/>
  <c r="F36" i="6" l="1"/>
  <c r="H32" i="6"/>
  <c r="G33" i="6"/>
  <c r="H33" i="6" l="1"/>
  <c r="G34" i="6"/>
  <c r="F37" i="6"/>
  <c r="F38" i="6" l="1"/>
  <c r="H34" i="6"/>
  <c r="G35" i="6"/>
  <c r="H35" i="6" l="1"/>
  <c r="G36" i="6"/>
  <c r="F39" i="6"/>
  <c r="H36" i="6" l="1"/>
  <c r="G37" i="6"/>
  <c r="F40" i="6"/>
  <c r="F41" i="6" l="1"/>
  <c r="H37" i="6"/>
  <c r="G38" i="6"/>
  <c r="H38" i="6" l="1"/>
  <c r="G39" i="6"/>
  <c r="F42" i="6"/>
  <c r="F43" i="6" l="1"/>
  <c r="H39" i="6"/>
  <c r="G40" i="6"/>
  <c r="H40" i="6" l="1"/>
  <c r="G41" i="6"/>
  <c r="F44" i="6"/>
  <c r="H41" i="6" l="1"/>
  <c r="G42" i="6"/>
  <c r="F45" i="6"/>
  <c r="F46" i="6" l="1"/>
  <c r="H42" i="6"/>
  <c r="G43" i="6"/>
  <c r="H43" i="6" l="1"/>
  <c r="G44" i="6"/>
  <c r="F47" i="6"/>
  <c r="F48" i="6" l="1"/>
  <c r="H44" i="6"/>
  <c r="G45" i="6"/>
  <c r="H45" i="6" l="1"/>
  <c r="G46" i="6"/>
  <c r="F49" i="6"/>
  <c r="F50" i="6" l="1"/>
  <c r="H46" i="6"/>
  <c r="G47" i="6"/>
  <c r="H47" i="6" l="1"/>
  <c r="G48" i="6"/>
  <c r="F51" i="6"/>
  <c r="H48" i="6" l="1"/>
  <c r="G49" i="6"/>
  <c r="F52" i="6"/>
  <c r="F53" i="6" l="1"/>
  <c r="H49" i="6"/>
  <c r="G50" i="6"/>
  <c r="H50" i="6" l="1"/>
  <c r="G51" i="6"/>
  <c r="F54" i="6"/>
  <c r="F55" i="6" l="1"/>
  <c r="H51" i="6"/>
  <c r="G52" i="6"/>
  <c r="H52" i="6" l="1"/>
  <c r="G53" i="6"/>
  <c r="F56" i="6"/>
  <c r="H53" i="6" l="1"/>
  <c r="G54" i="6"/>
  <c r="F57" i="6"/>
  <c r="H54" i="6" l="1"/>
  <c r="G55" i="6"/>
  <c r="F58" i="6"/>
  <c r="F59" i="6" l="1"/>
  <c r="H55" i="6"/>
  <c r="G56" i="6"/>
  <c r="F60" i="6" l="1"/>
  <c r="H56" i="6"/>
  <c r="G57" i="6"/>
  <c r="H57" i="6" l="1"/>
  <c r="G58" i="6"/>
  <c r="F61" i="6"/>
  <c r="H58" i="6" l="1"/>
  <c r="G59" i="6"/>
  <c r="F62" i="6"/>
  <c r="H59" i="6" l="1"/>
  <c r="G60" i="6"/>
  <c r="F63" i="6"/>
  <c r="H60" i="6" l="1"/>
  <c r="G61" i="6"/>
  <c r="F64" i="6"/>
  <c r="F65" i="6" l="1"/>
  <c r="H61" i="6"/>
  <c r="G62" i="6"/>
  <c r="H62" i="6" l="1"/>
  <c r="G63" i="6"/>
  <c r="F66" i="6"/>
  <c r="F67" i="6" l="1"/>
  <c r="H63" i="6"/>
  <c r="G64" i="6"/>
  <c r="F68" i="6" l="1"/>
  <c r="H64" i="6"/>
  <c r="G65" i="6"/>
  <c r="H65" i="6" l="1"/>
  <c r="G66" i="6"/>
  <c r="F69" i="6"/>
  <c r="H66" i="6" l="1"/>
  <c r="G67" i="6"/>
  <c r="F70" i="6"/>
  <c r="F71" i="6" l="1"/>
  <c r="H67" i="6"/>
  <c r="G68" i="6"/>
  <c r="F72" i="6" l="1"/>
  <c r="H68" i="6"/>
  <c r="G69" i="6"/>
  <c r="H69" i="6" l="1"/>
  <c r="G70" i="6"/>
  <c r="F73" i="6"/>
  <c r="H70" i="6" l="1"/>
  <c r="G71" i="6"/>
  <c r="F74" i="6"/>
  <c r="F75" i="6" l="1"/>
  <c r="H71" i="6"/>
  <c r="G72" i="6"/>
  <c r="H72" i="6" l="1"/>
  <c r="G73" i="6"/>
  <c r="F76" i="6"/>
  <c r="H73" i="6" l="1"/>
  <c r="G74" i="6"/>
  <c r="F77" i="6"/>
  <c r="H74" i="6" l="1"/>
  <c r="G75" i="6"/>
  <c r="F78" i="6"/>
  <c r="F79" i="6" l="1"/>
  <c r="H75" i="6"/>
  <c r="G76" i="6"/>
  <c r="H76" i="6" l="1"/>
  <c r="G77" i="6"/>
  <c r="F80" i="6"/>
  <c r="H77" i="6" l="1"/>
  <c r="G78" i="6"/>
  <c r="F81" i="6"/>
  <c r="F82" i="6" l="1"/>
  <c r="H78" i="6"/>
  <c r="G79" i="6"/>
  <c r="H79" i="6" l="1"/>
  <c r="G80" i="6"/>
  <c r="F83" i="6"/>
  <c r="F84" i="6" l="1"/>
  <c r="H80" i="6"/>
  <c r="G81" i="6"/>
  <c r="H81" i="6" l="1"/>
  <c r="G82" i="6"/>
  <c r="F85" i="6"/>
  <c r="F86" i="6" l="1"/>
  <c r="H82" i="6"/>
  <c r="G83" i="6"/>
  <c r="H83" i="6" l="1"/>
  <c r="G84" i="6"/>
  <c r="F87" i="6"/>
  <c r="H84" i="6" l="1"/>
  <c r="G85" i="6"/>
  <c r="F88" i="6"/>
  <c r="H85" i="6" l="1"/>
  <c r="G86" i="6"/>
  <c r="F89" i="6"/>
  <c r="H86" i="6" l="1"/>
  <c r="G87" i="6"/>
  <c r="F90" i="6"/>
  <c r="H87" i="6" l="1"/>
  <c r="G88" i="6"/>
  <c r="F91" i="6"/>
  <c r="H88" i="6" l="1"/>
  <c r="G89" i="6"/>
  <c r="F92" i="6"/>
  <c r="F93" i="6" l="1"/>
  <c r="H89" i="6"/>
  <c r="G90" i="6"/>
  <c r="H90" i="6" l="1"/>
  <c r="G91" i="6"/>
  <c r="F94" i="6"/>
  <c r="H91" i="6" l="1"/>
  <c r="G92" i="6"/>
  <c r="F95" i="6"/>
  <c r="H92" i="6" l="1"/>
  <c r="G93" i="6"/>
  <c r="F96" i="6"/>
  <c r="H93" i="6" l="1"/>
  <c r="G94" i="6"/>
  <c r="F97" i="6"/>
  <c r="H94" i="6" l="1"/>
  <c r="G95" i="6"/>
  <c r="F98" i="6"/>
  <c r="F99" i="6" l="1"/>
  <c r="H95" i="6"/>
  <c r="G96" i="6"/>
  <c r="H96" i="6" l="1"/>
  <c r="G97" i="6"/>
  <c r="F100" i="6"/>
  <c r="H97" i="6" l="1"/>
  <c r="G98" i="6"/>
  <c r="F101" i="6"/>
  <c r="H98" i="6" l="1"/>
  <c r="G99" i="6"/>
  <c r="F102" i="6"/>
  <c r="F103" i="6" l="1"/>
  <c r="H99" i="6"/>
  <c r="G100" i="6"/>
  <c r="H100" i="6" l="1"/>
  <c r="G101" i="6"/>
  <c r="F104" i="6"/>
  <c r="H101" i="6" l="1"/>
  <c r="G102" i="6"/>
  <c r="F105" i="6"/>
  <c r="H102" i="6" l="1"/>
  <c r="G103" i="6"/>
  <c r="F106" i="6"/>
  <c r="F107" i="6" l="1"/>
  <c r="H103" i="6"/>
  <c r="G104" i="6"/>
  <c r="H104" i="6" l="1"/>
  <c r="G105" i="6"/>
  <c r="F108" i="6"/>
  <c r="F109" i="6" l="1"/>
  <c r="H105" i="6"/>
  <c r="G106" i="6"/>
  <c r="H106" i="6" l="1"/>
  <c r="G107" i="6"/>
  <c r="F110" i="6"/>
  <c r="F111" i="6" l="1"/>
  <c r="H107" i="6"/>
  <c r="G108" i="6"/>
  <c r="H108" i="6" l="1"/>
  <c r="G109" i="6"/>
  <c r="F112" i="6"/>
  <c r="F113" i="6" l="1"/>
  <c r="H109" i="6"/>
  <c r="G110" i="6"/>
  <c r="H110" i="6" l="1"/>
  <c r="G111" i="6"/>
  <c r="F114" i="6"/>
  <c r="H111" i="6" l="1"/>
  <c r="G112" i="6"/>
  <c r="F115" i="6"/>
  <c r="H112" i="6" l="1"/>
  <c r="G113" i="6"/>
  <c r="F116" i="6"/>
  <c r="H113" i="6" l="1"/>
  <c r="G114" i="6"/>
  <c r="F117" i="6"/>
  <c r="H114" i="6" l="1"/>
  <c r="G115" i="6"/>
  <c r="F118" i="6"/>
  <c r="H115" i="6" l="1"/>
  <c r="G116" i="6"/>
  <c r="F119" i="6"/>
  <c r="H116" i="6" l="1"/>
  <c r="G117" i="6"/>
  <c r="F120" i="6"/>
  <c r="F121" i="6" l="1"/>
  <c r="H117" i="6"/>
  <c r="G118" i="6"/>
  <c r="H118" i="6" l="1"/>
  <c r="G119" i="6"/>
  <c r="F122" i="6"/>
  <c r="H119" i="6" l="1"/>
  <c r="G120" i="6"/>
  <c r="F123" i="6"/>
  <c r="F124" i="6" l="1"/>
  <c r="H120" i="6"/>
  <c r="G121" i="6"/>
  <c r="H121" i="6" l="1"/>
  <c r="G122" i="6"/>
  <c r="F125" i="6"/>
  <c r="H122" i="6" l="1"/>
  <c r="G123" i="6"/>
  <c r="F126" i="6"/>
  <c r="H123" i="6" l="1"/>
  <c r="G124" i="6"/>
  <c r="F127" i="6"/>
  <c r="F128" i="6" l="1"/>
  <c r="H124" i="6"/>
  <c r="G125" i="6"/>
  <c r="H125" i="6" l="1"/>
  <c r="G126" i="6"/>
  <c r="F129" i="6"/>
  <c r="F130" i="6" l="1"/>
  <c r="H126" i="6"/>
  <c r="G127" i="6"/>
  <c r="H127" i="6" l="1"/>
  <c r="G128" i="6"/>
  <c r="F131" i="6"/>
  <c r="H128" i="6" l="1"/>
  <c r="G129" i="6"/>
  <c r="F132" i="6"/>
  <c r="F133" i="6" l="1"/>
  <c r="H129" i="6"/>
  <c r="G130" i="6"/>
  <c r="H130" i="6" l="1"/>
  <c r="G131" i="6"/>
  <c r="F134" i="6"/>
  <c r="F135" i="6" l="1"/>
  <c r="H131" i="6"/>
  <c r="G132" i="6"/>
  <c r="H132" i="6" l="1"/>
  <c r="G133" i="6"/>
  <c r="F136" i="6"/>
  <c r="F137" i="6" l="1"/>
  <c r="H133" i="6"/>
  <c r="G134" i="6"/>
  <c r="H134" i="6" l="1"/>
  <c r="G135" i="6"/>
  <c r="F138" i="6"/>
  <c r="F139" i="6" l="1"/>
  <c r="H135" i="6"/>
  <c r="G136" i="6"/>
  <c r="F140" i="6" l="1"/>
  <c r="H136" i="6"/>
  <c r="G137" i="6"/>
  <c r="H137" i="6" l="1"/>
  <c r="G138" i="6"/>
  <c r="F141" i="6"/>
  <c r="H138" i="6" l="1"/>
  <c r="G139" i="6"/>
  <c r="F142" i="6"/>
  <c r="F143" i="6" l="1"/>
  <c r="H139" i="6"/>
  <c r="G140" i="6"/>
  <c r="H140" i="6" l="1"/>
  <c r="G141" i="6"/>
  <c r="F144" i="6"/>
  <c r="F145" i="6" l="1"/>
  <c r="H141" i="6"/>
  <c r="G142" i="6"/>
  <c r="H142" i="6" l="1"/>
  <c r="G143" i="6"/>
  <c r="F146" i="6"/>
  <c r="H143" i="6" l="1"/>
  <c r="G144" i="6"/>
  <c r="F147" i="6"/>
  <c r="H144" i="6" l="1"/>
  <c r="G145" i="6"/>
  <c r="F148" i="6"/>
  <c r="H145" i="6" l="1"/>
  <c r="G146" i="6"/>
  <c r="F149" i="6"/>
  <c r="F150" i="6" l="1"/>
  <c r="H146" i="6"/>
  <c r="G147" i="6"/>
  <c r="H147" i="6" l="1"/>
  <c r="G148" i="6"/>
  <c r="F151" i="6"/>
  <c r="F152" i="6" l="1"/>
  <c r="H148" i="6"/>
  <c r="G149" i="6"/>
  <c r="H149" i="6" l="1"/>
  <c r="G150" i="6"/>
  <c r="F153" i="6"/>
  <c r="F154" i="6" l="1"/>
  <c r="H150" i="6"/>
  <c r="G151" i="6"/>
  <c r="H151" i="6" l="1"/>
  <c r="G152" i="6"/>
  <c r="F155" i="6"/>
  <c r="H152" i="6" l="1"/>
  <c r="G153" i="6"/>
  <c r="F156" i="6"/>
  <c r="F157" i="6" l="1"/>
  <c r="H153" i="6"/>
  <c r="G154" i="6"/>
  <c r="H154" i="6" l="1"/>
  <c r="G155" i="6"/>
  <c r="F158" i="6"/>
  <c r="F159" i="6" l="1"/>
  <c r="H155" i="6"/>
  <c r="G156" i="6"/>
  <c r="H156" i="6" l="1"/>
  <c r="G157" i="6"/>
  <c r="F160" i="6"/>
  <c r="F161" i="6" l="1"/>
  <c r="H157" i="6"/>
  <c r="G158" i="6"/>
  <c r="H158" i="6" l="1"/>
  <c r="G159" i="6"/>
  <c r="F162" i="6"/>
  <c r="F163" i="6" l="1"/>
  <c r="H159" i="6"/>
  <c r="G160" i="6"/>
  <c r="F164" i="6" l="1"/>
  <c r="H160" i="6"/>
  <c r="G161" i="6"/>
  <c r="H161" i="6" l="1"/>
  <c r="G162" i="6"/>
  <c r="F165" i="6"/>
  <c r="H162" i="6" l="1"/>
  <c r="G163" i="6"/>
  <c r="F166" i="6"/>
  <c r="H163" i="6" l="1"/>
  <c r="G164" i="6"/>
  <c r="F167" i="6"/>
  <c r="F168" i="6" l="1"/>
  <c r="H164" i="6"/>
  <c r="G165" i="6"/>
  <c r="H165" i="6" l="1"/>
  <c r="G166" i="6"/>
  <c r="F169" i="6"/>
  <c r="H166" i="6" l="1"/>
  <c r="G167" i="6"/>
  <c r="F170" i="6"/>
  <c r="H167" i="6" l="1"/>
  <c r="G168" i="6"/>
  <c r="F171" i="6"/>
  <c r="H168" i="6" l="1"/>
  <c r="G169" i="6"/>
  <c r="F172" i="6"/>
  <c r="F173" i="6" l="1"/>
  <c r="H169" i="6"/>
  <c r="G170" i="6"/>
  <c r="H170" i="6" l="1"/>
  <c r="G171" i="6"/>
  <c r="F174" i="6"/>
  <c r="H171" i="6" l="1"/>
  <c r="G172" i="6"/>
  <c r="F175" i="6"/>
  <c r="F176" i="6" l="1"/>
  <c r="H172" i="6"/>
  <c r="G173" i="6"/>
  <c r="H173" i="6" l="1"/>
  <c r="G174" i="6"/>
  <c r="F177" i="6"/>
  <c r="H174" i="6" l="1"/>
  <c r="G175" i="6"/>
  <c r="F178" i="6"/>
  <c r="F179" i="6" l="1"/>
  <c r="H175" i="6"/>
  <c r="G176" i="6"/>
  <c r="F180" i="6" l="1"/>
  <c r="H176" i="6"/>
  <c r="G177" i="6"/>
  <c r="H177" i="6" l="1"/>
  <c r="G178" i="6"/>
  <c r="F181" i="6"/>
  <c r="H178" i="6" l="1"/>
  <c r="G179" i="6"/>
  <c r="F182" i="6"/>
  <c r="H179" i="6" l="1"/>
  <c r="G180" i="6"/>
  <c r="F183" i="6"/>
  <c r="F184" i="6" l="1"/>
  <c r="H180" i="6"/>
  <c r="G181" i="6"/>
  <c r="H181" i="6" l="1"/>
  <c r="G182" i="6"/>
  <c r="F185" i="6"/>
  <c r="F186" i="6" l="1"/>
  <c r="H182" i="6"/>
  <c r="G183" i="6"/>
  <c r="H183" i="6" l="1"/>
  <c r="G184" i="6"/>
  <c r="F187" i="6"/>
  <c r="F188" i="6" l="1"/>
  <c r="H184" i="6"/>
  <c r="G185" i="6"/>
  <c r="H185" i="6" l="1"/>
  <c r="G186" i="6"/>
  <c r="F189" i="6"/>
  <c r="F190" i="6" l="1"/>
  <c r="H186" i="6"/>
  <c r="G187" i="6"/>
  <c r="H187" i="6" l="1"/>
  <c r="G188" i="6"/>
  <c r="F191" i="6"/>
  <c r="F192" i="6" l="1"/>
  <c r="H188" i="6"/>
  <c r="G189" i="6"/>
  <c r="H189" i="6" l="1"/>
  <c r="G190" i="6"/>
  <c r="F193" i="6"/>
  <c r="F194" i="6" l="1"/>
  <c r="H190" i="6"/>
  <c r="G191" i="6"/>
  <c r="H191" i="6" l="1"/>
  <c r="G192" i="6"/>
  <c r="F195" i="6"/>
  <c r="F196" i="6" l="1"/>
  <c r="H192" i="6"/>
  <c r="G193" i="6"/>
  <c r="F197" i="6" l="1"/>
  <c r="H193" i="6"/>
  <c r="G194" i="6"/>
  <c r="H194" i="6" l="1"/>
  <c r="G195" i="6"/>
  <c r="F198" i="6"/>
  <c r="H195" i="6" l="1"/>
  <c r="G196" i="6"/>
  <c r="F199" i="6"/>
  <c r="F200" i="6" l="1"/>
  <c r="H196" i="6"/>
  <c r="G197" i="6"/>
  <c r="F201" i="6" l="1"/>
  <c r="H197" i="6"/>
  <c r="G198" i="6"/>
  <c r="H198" i="6" l="1"/>
  <c r="G199" i="6"/>
  <c r="F202" i="6"/>
  <c r="H199" i="6" l="1"/>
  <c r="G200" i="6"/>
  <c r="F203" i="6"/>
  <c r="F204" i="6" l="1"/>
  <c r="H200" i="6"/>
  <c r="G201" i="6"/>
  <c r="H201" i="6" l="1"/>
  <c r="G202" i="6"/>
  <c r="F205" i="6"/>
  <c r="F206" i="6" l="1"/>
  <c r="H205" i="6"/>
  <c r="H202" i="6"/>
  <c r="G203" i="6"/>
  <c r="H203" i="6" l="1"/>
  <c r="G204" i="6"/>
  <c r="H204" i="6" s="1"/>
  <c r="G206" i="6"/>
  <c r="H206" i="6" s="1"/>
  <c r="F207" i="6"/>
  <c r="G207" i="6" l="1"/>
  <c r="H207" i="6" s="1"/>
  <c r="F208" i="6"/>
  <c r="G208" i="6" l="1"/>
  <c r="H208" i="6" s="1"/>
  <c r="F209" i="6"/>
  <c r="F210" i="6" l="1"/>
  <c r="G209" i="6"/>
  <c r="H209" i="6" s="1"/>
  <c r="G210" i="6" l="1"/>
  <c r="H210" i="6" s="1"/>
  <c r="F211" i="6"/>
  <c r="G211" i="6" l="1"/>
  <c r="H211" i="6" s="1"/>
  <c r="F212" i="6"/>
  <c r="F213" i="6" l="1"/>
  <c r="G212" i="6"/>
  <c r="H212" i="6" s="1"/>
  <c r="F214" i="6" l="1"/>
  <c r="G213" i="6"/>
  <c r="H213" i="6" s="1"/>
  <c r="G214" i="6" l="1"/>
  <c r="H214" i="6" s="1"/>
  <c r="F215" i="6"/>
  <c r="G215" i="6" l="1"/>
  <c r="H215" i="6" s="1"/>
  <c r="F216" i="6"/>
  <c r="G216" i="6" l="1"/>
  <c r="H216" i="6" s="1"/>
  <c r="F217" i="6"/>
  <c r="F218" i="6" l="1"/>
  <c r="G217" i="6"/>
  <c r="H217" i="6" s="1"/>
  <c r="G218" i="6" l="1"/>
  <c r="H218" i="6" s="1"/>
  <c r="F219" i="6"/>
  <c r="F220" i="6" l="1"/>
  <c r="G219" i="6"/>
  <c r="H219" i="6" s="1"/>
  <c r="F221" i="6" l="1"/>
  <c r="G220" i="6"/>
  <c r="H220" i="6" s="1"/>
  <c r="F222" i="6" l="1"/>
  <c r="G221" i="6"/>
  <c r="H221" i="6" s="1"/>
  <c r="G222" i="6" l="1"/>
  <c r="H222" i="6" s="1"/>
  <c r="F223" i="6"/>
  <c r="G223" i="6" l="1"/>
  <c r="H223" i="6" s="1"/>
  <c r="F224" i="6"/>
  <c r="F225" i="6" l="1"/>
  <c r="G224" i="6"/>
  <c r="H224" i="6" s="1"/>
  <c r="F226" i="6" l="1"/>
  <c r="G225" i="6"/>
  <c r="H225" i="6" s="1"/>
  <c r="G226" i="6" l="1"/>
  <c r="H226" i="6" s="1"/>
  <c r="F227" i="6"/>
  <c r="G227" i="6" l="1"/>
  <c r="H227" i="6" s="1"/>
  <c r="F228" i="6"/>
  <c r="F229" i="6" l="1"/>
  <c r="G228" i="6"/>
  <c r="H228" i="6" s="1"/>
  <c r="G229" i="6" l="1"/>
  <c r="H229" i="6" s="1"/>
  <c r="F230" i="6"/>
  <c r="G230" i="6" l="1"/>
  <c r="H230" i="6" s="1"/>
  <c r="F231" i="6"/>
  <c r="G231" i="6" l="1"/>
  <c r="H231" i="6" s="1"/>
  <c r="F232" i="6"/>
  <c r="G232" i="6" l="1"/>
  <c r="H232" i="6" s="1"/>
  <c r="F233" i="6"/>
  <c r="F234" i="6" l="1"/>
  <c r="G233" i="6"/>
  <c r="H233" i="6" s="1"/>
  <c r="G234" i="6" l="1"/>
  <c r="H234" i="6" s="1"/>
  <c r="F235" i="6"/>
  <c r="G235" i="6" l="1"/>
  <c r="H235" i="6" s="1"/>
  <c r="F236" i="6"/>
  <c r="F237" i="6" l="1"/>
  <c r="G236" i="6"/>
  <c r="H236" i="6" s="1"/>
  <c r="F238" i="6" l="1"/>
  <c r="G237" i="6"/>
  <c r="H237" i="6" s="1"/>
  <c r="G238" i="6" l="1"/>
  <c r="H238" i="6" s="1"/>
  <c r="F239" i="6"/>
  <c r="F240" i="6" l="1"/>
  <c r="G239" i="6"/>
  <c r="H239" i="6" s="1"/>
  <c r="F241" i="6" l="1"/>
  <c r="G240" i="6"/>
  <c r="H240" i="6" s="1"/>
  <c r="G241" i="6" l="1"/>
  <c r="H241" i="6" s="1"/>
  <c r="F242" i="6"/>
  <c r="F243" i="6" l="1"/>
  <c r="G242" i="6"/>
  <c r="H242" i="6" s="1"/>
  <c r="G243" i="6" l="1"/>
  <c r="H243" i="6" s="1"/>
  <c r="F244" i="6"/>
  <c r="G244" i="6" l="1"/>
  <c r="H244" i="6" s="1"/>
  <c r="F245" i="6"/>
  <c r="F246" i="6" l="1"/>
  <c r="G245" i="6"/>
  <c r="H245" i="6" s="1"/>
  <c r="G246" i="6" l="1"/>
  <c r="H246" i="6" s="1"/>
  <c r="F247" i="6"/>
  <c r="F248" i="6" l="1"/>
  <c r="G247" i="6"/>
  <c r="H247" i="6" s="1"/>
  <c r="G248" i="6" l="1"/>
  <c r="H248" i="6" s="1"/>
  <c r="F249" i="6"/>
  <c r="G249" i="6" l="1"/>
  <c r="H249" i="6" s="1"/>
  <c r="F250" i="6"/>
  <c r="F251" i="6" l="1"/>
  <c r="G250" i="6"/>
  <c r="H250" i="6" s="1"/>
  <c r="G251" i="6" l="1"/>
  <c r="H251" i="6" s="1"/>
  <c r="F252" i="6"/>
  <c r="G252" i="6" l="1"/>
  <c r="H252" i="6" s="1"/>
  <c r="F253" i="6"/>
  <c r="F254" i="6" l="1"/>
  <c r="G253" i="6"/>
  <c r="H253" i="6" s="1"/>
  <c r="F255" i="6" l="1"/>
  <c r="G254" i="6"/>
  <c r="H254" i="6" s="1"/>
  <c r="G255" i="6" l="1"/>
  <c r="H255" i="6" s="1"/>
  <c r="F256" i="6"/>
  <c r="G256" i="6" l="1"/>
  <c r="H256" i="6" s="1"/>
  <c r="F257" i="6"/>
  <c r="F258" i="6" l="1"/>
  <c r="G257" i="6"/>
  <c r="H257" i="6" s="1"/>
  <c r="G258" i="6" l="1"/>
  <c r="H258" i="6" s="1"/>
  <c r="F259" i="6"/>
  <c r="G259" i="6" l="1"/>
  <c r="H259" i="6" s="1"/>
  <c r="F260" i="6"/>
  <c r="G260" i="6" l="1"/>
  <c r="H260" i="6" s="1"/>
  <c r="F261" i="6"/>
  <c r="F262" i="6" l="1"/>
  <c r="G261" i="6"/>
  <c r="H261" i="6" s="1"/>
  <c r="G262" i="6" l="1"/>
  <c r="H262" i="6" s="1"/>
  <c r="F263" i="6"/>
  <c r="G263" i="6" l="1"/>
  <c r="H263" i="6" s="1"/>
  <c r="F264" i="6"/>
  <c r="G264" i="6" l="1"/>
  <c r="H264" i="6" s="1"/>
  <c r="F265" i="6"/>
  <c r="G265" i="6" l="1"/>
  <c r="H265" i="6" s="1"/>
  <c r="F266" i="6"/>
  <c r="G266" i="6" l="1"/>
  <c r="H266" i="6" s="1"/>
  <c r="F267" i="6"/>
  <c r="G267" i="6" l="1"/>
  <c r="H267" i="6" s="1"/>
  <c r="F268" i="6"/>
  <c r="F269" i="6" l="1"/>
  <c r="G268" i="6"/>
  <c r="H268" i="6" s="1"/>
  <c r="F270" i="6" l="1"/>
  <c r="G269" i="6"/>
  <c r="H269" i="6" s="1"/>
  <c r="F271" i="6" l="1"/>
  <c r="G270" i="6"/>
  <c r="H270" i="6" s="1"/>
  <c r="F272" i="6" l="1"/>
  <c r="G271" i="6"/>
  <c r="H271" i="6" s="1"/>
  <c r="G272" i="6" l="1"/>
  <c r="H272" i="6" s="1"/>
  <c r="F273" i="6"/>
  <c r="G273" i="6" l="1"/>
  <c r="H273" i="6" s="1"/>
  <c r="F274" i="6"/>
  <c r="G274" i="6" l="1"/>
  <c r="H274" i="6" s="1"/>
  <c r="F275" i="6"/>
  <c r="G275" i="6" l="1"/>
  <c r="H275" i="6" s="1"/>
  <c r="F276" i="6"/>
  <c r="G276" i="6" l="1"/>
  <c r="H276" i="6" s="1"/>
  <c r="F277" i="6"/>
  <c r="F278" i="6" l="1"/>
  <c r="G277" i="6"/>
  <c r="H277" i="6" s="1"/>
  <c r="F279" i="6" l="1"/>
  <c r="G278" i="6"/>
  <c r="H278" i="6" s="1"/>
  <c r="G279" i="6" l="1"/>
  <c r="H279" i="6" s="1"/>
  <c r="F280" i="6"/>
  <c r="G280" i="6" l="1"/>
  <c r="H280" i="6" s="1"/>
  <c r="F281" i="6"/>
  <c r="G281" i="6" l="1"/>
  <c r="H281" i="6" s="1"/>
  <c r="F282" i="6"/>
  <c r="G282" i="6" l="1"/>
  <c r="H282" i="6" s="1"/>
  <c r="F283" i="6"/>
  <c r="G283" i="6" l="1"/>
  <c r="H283" i="6" s="1"/>
  <c r="F284" i="6"/>
  <c r="F285" i="6" l="1"/>
  <c r="G284" i="6"/>
  <c r="H284" i="6" s="1"/>
  <c r="F286" i="6" l="1"/>
  <c r="G285" i="6"/>
  <c r="H285" i="6" s="1"/>
  <c r="G286" i="6" l="1"/>
  <c r="H286" i="6" s="1"/>
  <c r="F287" i="6"/>
  <c r="F288" i="6" l="1"/>
  <c r="G287" i="6"/>
  <c r="H287" i="6" s="1"/>
  <c r="F289" i="6" l="1"/>
  <c r="G288" i="6"/>
  <c r="H288" i="6" s="1"/>
  <c r="G289" i="6" l="1"/>
  <c r="H289" i="6" s="1"/>
  <c r="F290" i="6"/>
  <c r="G290" i="6" l="1"/>
  <c r="H290" i="6" s="1"/>
  <c r="F291" i="6"/>
  <c r="G291" i="6" l="1"/>
  <c r="H291" i="6" s="1"/>
  <c r="F292" i="6"/>
  <c r="G292" i="6" l="1"/>
  <c r="H292" i="6" s="1"/>
  <c r="F293" i="6"/>
  <c r="F294" i="6" l="1"/>
  <c r="G293" i="6"/>
  <c r="H293" i="6" s="1"/>
  <c r="F295" i="6" l="1"/>
  <c r="G294" i="6"/>
  <c r="H294" i="6" s="1"/>
  <c r="F296" i="6" l="1"/>
  <c r="G295" i="6"/>
  <c r="H295" i="6" s="1"/>
  <c r="G296" i="6" l="1"/>
  <c r="H296" i="6" s="1"/>
  <c r="F297" i="6"/>
  <c r="F298" i="6" l="1"/>
  <c r="G297" i="6"/>
  <c r="H297" i="6" s="1"/>
  <c r="F299" i="6" l="1"/>
  <c r="G298" i="6"/>
  <c r="H298" i="6" s="1"/>
  <c r="G299" i="6" l="1"/>
  <c r="H299" i="6" s="1"/>
  <c r="F300" i="6"/>
  <c r="F301" i="6" l="1"/>
  <c r="G300" i="6"/>
  <c r="H300" i="6" s="1"/>
  <c r="F302" i="6" l="1"/>
  <c r="G301" i="6"/>
  <c r="H301" i="6" s="1"/>
  <c r="G302" i="6" l="1"/>
  <c r="H302" i="6" s="1"/>
  <c r="F303" i="6"/>
  <c r="F304" i="6" l="1"/>
  <c r="G303" i="6"/>
  <c r="H303" i="6" s="1"/>
  <c r="G304" i="6" l="1"/>
  <c r="H304" i="6" s="1"/>
  <c r="F305" i="6"/>
  <c r="F306" i="6" l="1"/>
  <c r="G305" i="6"/>
  <c r="H305" i="6" s="1"/>
  <c r="F307" i="6" l="1"/>
  <c r="G306" i="6"/>
  <c r="H306" i="6" s="1"/>
  <c r="G307" i="6" l="1"/>
  <c r="H307" i="6" s="1"/>
  <c r="F308" i="6"/>
  <c r="G308" i="6" l="1"/>
  <c r="H308" i="6" s="1"/>
  <c r="F309" i="6"/>
  <c r="F310" i="6" l="1"/>
  <c r="G309" i="6"/>
  <c r="H309" i="6" s="1"/>
  <c r="G310" i="6" l="1"/>
  <c r="H310" i="6" s="1"/>
  <c r="F311" i="6"/>
  <c r="F312" i="6" l="1"/>
  <c r="G311" i="6"/>
  <c r="H311" i="6" s="1"/>
  <c r="F313" i="6" l="1"/>
  <c r="G312" i="6"/>
  <c r="H312" i="6" s="1"/>
  <c r="G313" i="6" l="1"/>
  <c r="H313" i="6" s="1"/>
  <c r="F314" i="6"/>
  <c r="G314" i="6" l="1"/>
  <c r="H314" i="6" s="1"/>
  <c r="F315" i="6"/>
  <c r="G315" i="6" l="1"/>
  <c r="H315" i="6" s="1"/>
  <c r="F316" i="6"/>
  <c r="G316" i="6" l="1"/>
  <c r="H316" i="6" s="1"/>
  <c r="F317" i="6"/>
  <c r="F318" i="6" l="1"/>
  <c r="G317" i="6"/>
  <c r="H317" i="6" s="1"/>
  <c r="G318" i="6" l="1"/>
  <c r="H318" i="6" s="1"/>
  <c r="F319" i="6"/>
  <c r="G319" i="6" l="1"/>
  <c r="H319" i="6" s="1"/>
  <c r="F320" i="6"/>
  <c r="G320" i="6" l="1"/>
  <c r="H320" i="6" s="1"/>
  <c r="F321" i="6"/>
  <c r="G321" i="6" l="1"/>
  <c r="H321" i="6" s="1"/>
  <c r="F322" i="6"/>
  <c r="G322" i="6" l="1"/>
  <c r="H322" i="6" s="1"/>
  <c r="F323" i="6"/>
  <c r="G323" i="6" l="1"/>
  <c r="H323" i="6" s="1"/>
  <c r="F324" i="6"/>
  <c r="F325" i="6" l="1"/>
  <c r="G324" i="6"/>
  <c r="H324" i="6" s="1"/>
  <c r="G325" i="6" l="1"/>
  <c r="H325" i="6" s="1"/>
  <c r="F326" i="6"/>
  <c r="G326" i="6" l="1"/>
  <c r="H326" i="6" s="1"/>
  <c r="F327" i="6"/>
  <c r="G327" i="6" l="1"/>
  <c r="H327" i="6" s="1"/>
  <c r="F328" i="6"/>
  <c r="G328" i="6" l="1"/>
  <c r="H328" i="6" s="1"/>
  <c r="F329" i="6"/>
  <c r="G329" i="6" l="1"/>
  <c r="H329" i="6" s="1"/>
  <c r="F330" i="6"/>
  <c r="G330" i="6" l="1"/>
  <c r="H330" i="6" s="1"/>
  <c r="F331" i="6"/>
  <c r="G331" i="6" l="1"/>
  <c r="H331" i="6" s="1"/>
  <c r="F332" i="6"/>
  <c r="F333" i="6" l="1"/>
  <c r="G332" i="6"/>
  <c r="H332" i="6" s="1"/>
  <c r="F334" i="6" l="1"/>
  <c r="G333" i="6"/>
  <c r="H333" i="6" s="1"/>
  <c r="G334" i="6" l="1"/>
  <c r="H334" i="6" s="1"/>
  <c r="F335" i="6"/>
  <c r="G335" i="6" l="1"/>
  <c r="H335" i="6" s="1"/>
  <c r="F336" i="6"/>
  <c r="G336" i="6" l="1"/>
  <c r="H336" i="6" s="1"/>
  <c r="F337" i="6"/>
  <c r="G337" i="6" l="1"/>
  <c r="H337" i="6" s="1"/>
  <c r="F338" i="6"/>
  <c r="G338" i="6" l="1"/>
  <c r="H338" i="6" s="1"/>
  <c r="F339" i="6"/>
  <c r="G339" i="6" l="1"/>
  <c r="H339" i="6" s="1"/>
  <c r="F340" i="6"/>
  <c r="F341" i="6" l="1"/>
  <c r="G340" i="6"/>
  <c r="H340" i="6" s="1"/>
  <c r="G341" i="6" l="1"/>
  <c r="H341" i="6" s="1"/>
  <c r="F342" i="6"/>
  <c r="G342" i="6" l="1"/>
  <c r="H342" i="6" s="1"/>
  <c r="F343" i="6"/>
  <c r="G343" i="6" l="1"/>
  <c r="H343" i="6" s="1"/>
  <c r="F344" i="6"/>
  <c r="G344" i="6" l="1"/>
  <c r="H344" i="6" s="1"/>
  <c r="F345" i="6"/>
  <c r="G345" i="6" l="1"/>
  <c r="H345" i="6" s="1"/>
  <c r="F346" i="6"/>
  <c r="G346" i="6" l="1"/>
  <c r="H346" i="6" s="1"/>
  <c r="F347" i="6"/>
  <c r="F348" i="6" l="1"/>
  <c r="G347" i="6"/>
  <c r="H347" i="6" s="1"/>
  <c r="F349" i="6" l="1"/>
  <c r="G348" i="6"/>
  <c r="H348" i="6" s="1"/>
  <c r="G349" i="6" l="1"/>
  <c r="H349" i="6" s="1"/>
  <c r="F350" i="6"/>
  <c r="G350" i="6" l="1"/>
  <c r="H350" i="6" s="1"/>
  <c r="F351" i="6"/>
  <c r="G351" i="6" l="1"/>
  <c r="H351" i="6" s="1"/>
  <c r="F352" i="6"/>
  <c r="G352" i="6" l="1"/>
  <c r="H352" i="6" s="1"/>
  <c r="F353" i="6"/>
  <c r="G353" i="6" l="1"/>
  <c r="H353" i="6" s="1"/>
  <c r="F354" i="6"/>
  <c r="G354" i="6" l="1"/>
  <c r="H354" i="6" s="1"/>
  <c r="F355" i="6"/>
  <c r="G355" i="6" l="1"/>
  <c r="H355" i="6" s="1"/>
  <c r="F356" i="6"/>
  <c r="F357" i="6" l="1"/>
  <c r="G356" i="6"/>
  <c r="H356" i="6" s="1"/>
  <c r="G357" i="6" l="1"/>
  <c r="H357" i="6" s="1"/>
  <c r="F358" i="6"/>
  <c r="G358" i="6" l="1"/>
  <c r="H358" i="6" s="1"/>
  <c r="F359" i="6"/>
  <c r="F360" i="6" l="1"/>
  <c r="G359" i="6"/>
  <c r="H359" i="6" s="1"/>
  <c r="G360" i="6" l="1"/>
  <c r="H360" i="6" s="1"/>
  <c r="F361" i="6"/>
  <c r="F362" i="6" l="1"/>
  <c r="G361" i="6"/>
  <c r="H361" i="6" s="1"/>
  <c r="G362" i="6" l="1"/>
  <c r="H362" i="6" s="1"/>
  <c r="F363" i="6"/>
  <c r="G363" i="6" l="1"/>
  <c r="H363" i="6" s="1"/>
  <c r="F364" i="6"/>
  <c r="F365" i="6" l="1"/>
  <c r="G364" i="6"/>
  <c r="H364" i="6" s="1"/>
  <c r="F366" i="6" l="1"/>
  <c r="G365" i="6"/>
  <c r="H365" i="6" s="1"/>
  <c r="G366" i="6" l="1"/>
  <c r="H366" i="6" s="1"/>
  <c r="F367" i="6"/>
  <c r="G367" i="6" l="1"/>
  <c r="H367" i="6" s="1"/>
  <c r="F368" i="6"/>
  <c r="F369" i="6" l="1"/>
  <c r="G368" i="6"/>
  <c r="H368" i="6" s="1"/>
  <c r="G369" i="6" l="1"/>
  <c r="H369" i="6" s="1"/>
  <c r="F370" i="6"/>
  <c r="G370" i="6" l="1"/>
  <c r="H370" i="6" s="1"/>
  <c r="F371" i="6"/>
  <c r="F372" i="6" l="1"/>
  <c r="G371" i="6"/>
  <c r="H371" i="6" s="1"/>
  <c r="F373" i="6" l="1"/>
  <c r="G372" i="6"/>
  <c r="H372" i="6" s="1"/>
  <c r="G373" i="6" l="1"/>
  <c r="H373" i="6" s="1"/>
  <c r="F374" i="6"/>
  <c r="F375" i="6" l="1"/>
  <c r="G374" i="6"/>
  <c r="H374" i="6" s="1"/>
  <c r="F376" i="6" l="1"/>
  <c r="G375" i="6"/>
  <c r="H375" i="6" s="1"/>
  <c r="G376" i="6" l="1"/>
  <c r="H376" i="6" s="1"/>
  <c r="F377" i="6"/>
  <c r="F378" i="6" l="1"/>
  <c r="G377" i="6"/>
  <c r="H377" i="6" s="1"/>
  <c r="G378" i="6" l="1"/>
  <c r="H378" i="6" s="1"/>
  <c r="F379" i="6"/>
  <c r="G379" i="6" l="1"/>
  <c r="H379" i="6" s="1"/>
  <c r="F380" i="6"/>
  <c r="F381" i="6" l="1"/>
  <c r="G380" i="6"/>
  <c r="H380" i="6" s="1"/>
  <c r="G381" i="6" l="1"/>
  <c r="H381" i="6" s="1"/>
  <c r="F382" i="6"/>
  <c r="F383" i="6" l="1"/>
  <c r="G382" i="6"/>
  <c r="H382" i="6" s="1"/>
  <c r="G383" i="6" l="1"/>
  <c r="H383" i="6" s="1"/>
  <c r="F384" i="6"/>
  <c r="G384" i="6" l="1"/>
  <c r="H384" i="6" s="1"/>
  <c r="F385" i="6"/>
  <c r="F386" i="6" l="1"/>
  <c r="G385" i="6"/>
  <c r="H385" i="6" s="1"/>
  <c r="G386" i="6" l="1"/>
  <c r="H386" i="6" s="1"/>
  <c r="F387" i="6"/>
  <c r="G387" i="6" l="1"/>
  <c r="H387" i="6" s="1"/>
  <c r="F388" i="6"/>
  <c r="F389" i="6" l="1"/>
  <c r="G388" i="6"/>
  <c r="H388" i="6" s="1"/>
  <c r="F390" i="6" l="1"/>
  <c r="G389" i="6"/>
  <c r="H389" i="6" s="1"/>
  <c r="G390" i="6" l="1"/>
  <c r="H390" i="6" s="1"/>
  <c r="F391" i="6"/>
  <c r="G391" i="6" l="1"/>
  <c r="H391" i="6" s="1"/>
  <c r="F392" i="6"/>
  <c r="F393" i="6" l="1"/>
  <c r="G392" i="6"/>
  <c r="H392" i="6" s="1"/>
  <c r="G393" i="6" l="1"/>
  <c r="H393" i="6" s="1"/>
  <c r="F394" i="6"/>
  <c r="G394" i="6" l="1"/>
  <c r="H394" i="6" s="1"/>
  <c r="F395" i="6"/>
  <c r="G395" i="6" l="1"/>
  <c r="H395" i="6" s="1"/>
  <c r="F396" i="6"/>
  <c r="F397" i="6" l="1"/>
  <c r="G396" i="6"/>
  <c r="H396" i="6" s="1"/>
  <c r="G397" i="6" l="1"/>
  <c r="H397" i="6" s="1"/>
  <c r="F398" i="6"/>
  <c r="G398" i="6" l="1"/>
  <c r="H398" i="6" s="1"/>
  <c r="F399" i="6"/>
  <c r="G399" i="6" l="1"/>
  <c r="H399" i="6" s="1"/>
  <c r="F400" i="6"/>
  <c r="G400" i="6" l="1"/>
  <c r="H400" i="6" s="1"/>
  <c r="F401" i="6"/>
  <c r="G401" i="6" l="1"/>
  <c r="H401" i="6" s="1"/>
  <c r="F402" i="6"/>
  <c r="G402" i="6" l="1"/>
  <c r="H402" i="6" s="1"/>
  <c r="F403" i="6"/>
  <c r="F404" i="6" l="1"/>
  <c r="G403" i="6"/>
  <c r="H403" i="6" s="1"/>
  <c r="F405" i="6" l="1"/>
  <c r="G404" i="6"/>
  <c r="H404" i="6" s="1"/>
  <c r="G405" i="6" l="1"/>
  <c r="H405" i="6" s="1"/>
  <c r="F406" i="6"/>
  <c r="F407" i="6" l="1"/>
  <c r="G406" i="6"/>
  <c r="H406" i="6" s="1"/>
  <c r="G407" i="6" l="1"/>
  <c r="H407" i="6" s="1"/>
  <c r="F408" i="6"/>
  <c r="G408" i="6" l="1"/>
  <c r="H408" i="6" s="1"/>
  <c r="F409" i="6"/>
  <c r="G409" i="6" l="1"/>
  <c r="H409" i="6" s="1"/>
  <c r="F410" i="6"/>
  <c r="G410" i="6" l="1"/>
  <c r="H410" i="6" s="1"/>
  <c r="F411" i="6"/>
  <c r="G411" i="6" l="1"/>
  <c r="H411" i="6" s="1"/>
  <c r="F412" i="6"/>
  <c r="F413" i="6" l="1"/>
  <c r="G412" i="6"/>
  <c r="H412" i="6" s="1"/>
  <c r="F414" i="6" l="1"/>
  <c r="G413" i="6"/>
  <c r="H413" i="6" s="1"/>
  <c r="G414" i="6" l="1"/>
  <c r="H414" i="6" s="1"/>
  <c r="F415" i="6"/>
  <c r="G415" i="6" l="1"/>
  <c r="H415" i="6" s="1"/>
  <c r="F416" i="6"/>
  <c r="G416" i="6" l="1"/>
  <c r="H416" i="6" s="1"/>
  <c r="F417" i="6"/>
  <c r="G417" i="6" l="1"/>
  <c r="H417" i="6" s="1"/>
  <c r="F418" i="6"/>
  <c r="G418" i="6" l="1"/>
  <c r="H418" i="6" s="1"/>
  <c r="F419" i="6"/>
  <c r="G419" i="6" l="1"/>
  <c r="H419" i="6" s="1"/>
  <c r="F420" i="6"/>
  <c r="F421" i="6" l="1"/>
  <c r="G420" i="6"/>
  <c r="H420" i="6" s="1"/>
  <c r="G421" i="6" l="1"/>
  <c r="H421" i="6" s="1"/>
  <c r="F422" i="6"/>
  <c r="G422" i="6" l="1"/>
  <c r="H422" i="6" s="1"/>
  <c r="F423" i="6"/>
  <c r="F424" i="6" l="1"/>
  <c r="G423" i="6"/>
  <c r="H423" i="6" s="1"/>
  <c r="F425" i="6" l="1"/>
  <c r="G424" i="6"/>
  <c r="H424" i="6" s="1"/>
  <c r="G425" i="6" l="1"/>
  <c r="H425" i="6" s="1"/>
  <c r="F426" i="6"/>
  <c r="G426" i="6" l="1"/>
  <c r="H426" i="6" s="1"/>
  <c r="F427" i="6"/>
  <c r="F428" i="6" l="1"/>
  <c r="G427" i="6"/>
  <c r="H427" i="6" s="1"/>
  <c r="F429" i="6" l="1"/>
  <c r="G428" i="6"/>
  <c r="H428" i="6" s="1"/>
  <c r="F430" i="6" l="1"/>
  <c r="G429" i="6"/>
  <c r="H429" i="6" s="1"/>
  <c r="G430" i="6" l="1"/>
  <c r="H430" i="6" s="1"/>
  <c r="F431" i="6"/>
  <c r="G431" i="6" l="1"/>
  <c r="H431" i="6" s="1"/>
  <c r="F432" i="6"/>
  <c r="F433" i="6" l="1"/>
  <c r="G432" i="6"/>
  <c r="H432" i="6" s="1"/>
  <c r="G433" i="6" l="1"/>
  <c r="H433" i="6" s="1"/>
  <c r="F434" i="6"/>
  <c r="G434" i="6" l="1"/>
  <c r="H434" i="6" s="1"/>
  <c r="F435" i="6"/>
  <c r="F436" i="6" l="1"/>
  <c r="G435" i="6"/>
  <c r="H435" i="6" s="1"/>
  <c r="F437" i="6" l="1"/>
  <c r="G436" i="6"/>
  <c r="H436" i="6" s="1"/>
  <c r="G437" i="6" l="1"/>
  <c r="H437" i="6" s="1"/>
  <c r="F438" i="6"/>
  <c r="F439" i="6" l="1"/>
  <c r="G438" i="6"/>
  <c r="H438" i="6" s="1"/>
  <c r="G439" i="6" l="1"/>
  <c r="H439" i="6" s="1"/>
  <c r="F440" i="6"/>
  <c r="G440" i="6" l="1"/>
  <c r="H440" i="6" s="1"/>
  <c r="F441" i="6"/>
  <c r="F442" i="6" l="1"/>
  <c r="G441" i="6"/>
  <c r="H441" i="6" s="1"/>
  <c r="G442" i="6" l="1"/>
  <c r="H442" i="6" s="1"/>
  <c r="F443" i="6"/>
  <c r="G443" i="6" l="1"/>
  <c r="H443" i="6" s="1"/>
  <c r="F444" i="6"/>
  <c r="F445" i="6" l="1"/>
  <c r="G444" i="6"/>
  <c r="H444" i="6" s="1"/>
  <c r="G445" i="6" l="1"/>
  <c r="H445" i="6" s="1"/>
  <c r="F446" i="6"/>
  <c r="G446" i="6" l="1"/>
  <c r="H446" i="6" s="1"/>
  <c r="F447" i="6"/>
  <c r="F448" i="6" l="1"/>
  <c r="G447" i="6"/>
  <c r="H447" i="6" s="1"/>
  <c r="G448" i="6" l="1"/>
  <c r="H448" i="6" s="1"/>
  <c r="F449" i="6"/>
  <c r="G449" i="6" l="1"/>
  <c r="H449" i="6" s="1"/>
  <c r="F450" i="6"/>
  <c r="G450" i="6" l="1"/>
  <c r="H450" i="6" s="1"/>
  <c r="F451" i="6"/>
  <c r="G451" i="6" l="1"/>
  <c r="H451" i="6" s="1"/>
  <c r="F452" i="6"/>
  <c r="F453" i="6" l="1"/>
  <c r="G452" i="6"/>
  <c r="H452" i="6" s="1"/>
  <c r="G453" i="6" l="1"/>
  <c r="H453" i="6" s="1"/>
  <c r="F454" i="6"/>
  <c r="G454" i="6" l="1"/>
  <c r="H454" i="6" s="1"/>
  <c r="F455" i="6"/>
  <c r="F456" i="6" l="1"/>
  <c r="G455" i="6"/>
  <c r="H455" i="6" s="1"/>
  <c r="G456" i="6" l="1"/>
  <c r="H456" i="6" s="1"/>
  <c r="F457" i="6"/>
  <c r="G457" i="6" l="1"/>
  <c r="H457" i="6" s="1"/>
  <c r="F458" i="6"/>
  <c r="G458" i="6" l="1"/>
  <c r="H458" i="6" s="1"/>
  <c r="F459" i="6"/>
  <c r="G459" i="6" l="1"/>
  <c r="H459" i="6" s="1"/>
  <c r="F460" i="6"/>
  <c r="F461" i="6" l="1"/>
  <c r="G460" i="6"/>
  <c r="H460" i="6" s="1"/>
  <c r="F462" i="6" l="1"/>
  <c r="G461" i="6"/>
  <c r="H461" i="6" s="1"/>
  <c r="F463" i="6" l="1"/>
  <c r="G462" i="6"/>
  <c r="H462" i="6" s="1"/>
  <c r="G463" i="6" l="1"/>
  <c r="H463" i="6" s="1"/>
  <c r="F464" i="6"/>
  <c r="G464" i="6" l="1"/>
  <c r="H464" i="6" s="1"/>
  <c r="F465" i="6"/>
  <c r="F466" i="6" l="1"/>
  <c r="G465" i="6"/>
  <c r="H465" i="6" s="1"/>
  <c r="G466" i="6" l="1"/>
  <c r="H466" i="6" s="1"/>
  <c r="F467" i="6"/>
  <c r="G467" i="6" l="1"/>
  <c r="H467" i="6" s="1"/>
  <c r="F468" i="6"/>
  <c r="F469" i="6" l="1"/>
  <c r="G468" i="6"/>
  <c r="H468" i="6" s="1"/>
  <c r="F470" i="6" l="1"/>
  <c r="G469" i="6"/>
  <c r="H469" i="6" s="1"/>
  <c r="G470" i="6" l="1"/>
  <c r="H470" i="6" s="1"/>
  <c r="F471" i="6"/>
  <c r="G471" i="6" l="1"/>
  <c r="H471" i="6" s="1"/>
  <c r="F472" i="6"/>
  <c r="G472" i="6" l="1"/>
  <c r="H472" i="6" s="1"/>
  <c r="F473" i="6"/>
  <c r="G473" i="6" l="1"/>
  <c r="H473" i="6" s="1"/>
  <c r="F474" i="6"/>
  <c r="G474" i="6" l="1"/>
  <c r="H474" i="6" s="1"/>
  <c r="F475" i="6"/>
  <c r="F476" i="6" l="1"/>
  <c r="G475" i="6"/>
  <c r="H475" i="6" s="1"/>
  <c r="F477" i="6" l="1"/>
  <c r="G476" i="6"/>
  <c r="H476" i="6" s="1"/>
  <c r="G477" i="6" l="1"/>
  <c r="H477" i="6" s="1"/>
  <c r="F478" i="6"/>
  <c r="G478" i="6" l="1"/>
  <c r="H478" i="6" s="1"/>
  <c r="F479" i="6"/>
  <c r="G479" i="6" l="1"/>
  <c r="H479" i="6" s="1"/>
  <c r="F480" i="6"/>
  <c r="G480" i="6" l="1"/>
  <c r="H480" i="6" s="1"/>
  <c r="F481" i="6"/>
  <c r="F482" i="6" l="1"/>
  <c r="G481" i="6"/>
  <c r="H481" i="6" s="1"/>
  <c r="G482" i="6" l="1"/>
  <c r="H482" i="6" s="1"/>
  <c r="F483" i="6"/>
  <c r="F484" i="6" l="1"/>
  <c r="G483" i="6"/>
  <c r="H483" i="6" s="1"/>
  <c r="F485" i="6" l="1"/>
  <c r="G484" i="6"/>
  <c r="H484" i="6" s="1"/>
  <c r="F486" i="6" l="1"/>
  <c r="G485" i="6"/>
  <c r="H485" i="6" s="1"/>
  <c r="F487" i="6" l="1"/>
  <c r="G486" i="6"/>
  <c r="H486" i="6" s="1"/>
  <c r="F488" i="6" l="1"/>
  <c r="G487" i="6"/>
  <c r="H487" i="6" s="1"/>
  <c r="G488" i="6" l="1"/>
  <c r="H488" i="6" s="1"/>
  <c r="F489" i="6"/>
  <c r="G489" i="6" l="1"/>
  <c r="H489" i="6" s="1"/>
  <c r="F490" i="6"/>
  <c r="G490" i="6" l="1"/>
  <c r="H490" i="6" s="1"/>
  <c r="F491" i="6"/>
  <c r="F492" i="6" l="1"/>
  <c r="G491" i="6"/>
  <c r="H491" i="6" s="1"/>
  <c r="F493" i="6" l="1"/>
  <c r="G492" i="6"/>
  <c r="H492" i="6" s="1"/>
  <c r="F494" i="6" l="1"/>
  <c r="G493" i="6"/>
  <c r="H493" i="6" s="1"/>
  <c r="G494" i="6" l="1"/>
  <c r="H494" i="6" s="1"/>
  <c r="F495" i="6"/>
  <c r="G495" i="6" l="1"/>
  <c r="H495" i="6" s="1"/>
  <c r="F496" i="6"/>
  <c r="F497" i="6" l="1"/>
  <c r="G496" i="6"/>
  <c r="H496" i="6" s="1"/>
  <c r="G497" i="6" l="1"/>
  <c r="H497" i="6" s="1"/>
  <c r="F498" i="6"/>
  <c r="G498" i="6" l="1"/>
  <c r="H498" i="6" s="1"/>
  <c r="F499" i="6"/>
  <c r="F500" i="6" l="1"/>
  <c r="G499" i="6"/>
  <c r="H499" i="6" s="1"/>
  <c r="F501" i="6" l="1"/>
  <c r="G500" i="6"/>
  <c r="H500" i="6" s="1"/>
  <c r="G501" i="6" l="1"/>
  <c r="H501" i="6" s="1"/>
  <c r="F502" i="6"/>
  <c r="F503" i="6" l="1"/>
  <c r="G502" i="6"/>
  <c r="H502" i="6" s="1"/>
  <c r="F504" i="6" l="1"/>
  <c r="G503" i="6"/>
  <c r="H503" i="6" s="1"/>
  <c r="G504" i="6" l="1"/>
  <c r="H504" i="6" s="1"/>
  <c r="F505" i="6"/>
  <c r="F506" i="6" l="1"/>
  <c r="G505" i="6"/>
  <c r="H505" i="6" s="1"/>
  <c r="G506" i="6" l="1"/>
  <c r="H506" i="6" s="1"/>
  <c r="F507" i="6"/>
  <c r="F508" i="6" l="1"/>
  <c r="G507" i="6"/>
  <c r="H507" i="6" s="1"/>
  <c r="F509" i="6" l="1"/>
  <c r="G508" i="6"/>
  <c r="H508" i="6" s="1"/>
  <c r="G509" i="6" l="1"/>
  <c r="H509" i="6" s="1"/>
  <c r="F510" i="6"/>
  <c r="G510" i="6" l="1"/>
  <c r="H510" i="6" s="1"/>
  <c r="F511" i="6"/>
  <c r="G511" i="6" l="1"/>
  <c r="H511" i="6" s="1"/>
  <c r="F512" i="6"/>
  <c r="G512" i="6" l="1"/>
  <c r="H512" i="6" s="1"/>
  <c r="F513" i="6"/>
  <c r="F514" i="6" l="1"/>
  <c r="G513" i="6"/>
  <c r="H513" i="6" s="1"/>
  <c r="G514" i="6" l="1"/>
  <c r="H514" i="6" s="1"/>
  <c r="F515" i="6"/>
  <c r="G515" i="6" l="1"/>
  <c r="H515" i="6" s="1"/>
  <c r="F516" i="6"/>
  <c r="F517" i="6" l="1"/>
  <c r="G516" i="6"/>
  <c r="H516" i="6" s="1"/>
  <c r="F518" i="6" l="1"/>
  <c r="G517" i="6"/>
  <c r="H517" i="6" s="1"/>
  <c r="G518" i="6" l="1"/>
  <c r="H518" i="6" s="1"/>
  <c r="F519" i="6"/>
  <c r="G519" i="6" l="1"/>
  <c r="H519" i="6" s="1"/>
  <c r="F520" i="6"/>
  <c r="F521" i="6" l="1"/>
  <c r="G520" i="6"/>
  <c r="H520" i="6" s="1"/>
  <c r="G521" i="6" l="1"/>
  <c r="H521" i="6" s="1"/>
  <c r="F522" i="6"/>
  <c r="G522" i="6" l="1"/>
  <c r="H522" i="6" s="1"/>
  <c r="F523" i="6"/>
  <c r="G523" i="6" l="1"/>
  <c r="H523" i="6" s="1"/>
  <c r="F524" i="6"/>
  <c r="F525" i="6" l="1"/>
  <c r="G524" i="6"/>
  <c r="H524" i="6" s="1"/>
  <c r="G525" i="6" l="1"/>
  <c r="H525" i="6" s="1"/>
  <c r="F526" i="6"/>
  <c r="G526" i="6" l="1"/>
  <c r="H526" i="6" s="1"/>
  <c r="F527" i="6"/>
  <c r="G527" i="6" l="1"/>
  <c r="H527" i="6" s="1"/>
  <c r="F528" i="6"/>
  <c r="F529" i="6" l="1"/>
  <c r="G528" i="6"/>
  <c r="H528" i="6" s="1"/>
  <c r="G529" i="6" l="1"/>
  <c r="H529" i="6" s="1"/>
  <c r="F530" i="6"/>
  <c r="G530" i="6" l="1"/>
  <c r="H530" i="6" s="1"/>
  <c r="F531" i="6"/>
  <c r="F532" i="6" l="1"/>
  <c r="G531" i="6"/>
  <c r="H531" i="6" s="1"/>
  <c r="F533" i="6" l="1"/>
  <c r="G532" i="6"/>
  <c r="H532" i="6" s="1"/>
  <c r="G533" i="6" l="1"/>
  <c r="H533" i="6" s="1"/>
  <c r="F534" i="6"/>
  <c r="F535" i="6" l="1"/>
  <c r="G534" i="6"/>
  <c r="H534" i="6" s="1"/>
  <c r="F536" i="6" l="1"/>
  <c r="G535" i="6"/>
  <c r="H535" i="6" s="1"/>
  <c r="F537" i="6" l="1"/>
  <c r="G536" i="6"/>
  <c r="H536" i="6" s="1"/>
  <c r="G537" i="6" l="1"/>
  <c r="H537" i="6" s="1"/>
  <c r="F538" i="6"/>
  <c r="G538" i="6" l="1"/>
  <c r="H538" i="6" s="1"/>
  <c r="F539" i="6"/>
  <c r="G539" i="6" l="1"/>
  <c r="H539" i="6" s="1"/>
  <c r="F540" i="6"/>
  <c r="F541" i="6" l="1"/>
  <c r="G540" i="6"/>
  <c r="H540" i="6" s="1"/>
  <c r="F542" i="6" l="1"/>
  <c r="G541" i="6"/>
  <c r="H541" i="6" s="1"/>
  <c r="F543" i="6" l="1"/>
  <c r="G542" i="6"/>
  <c r="H542" i="6" s="1"/>
  <c r="F544" i="6" l="1"/>
  <c r="G543" i="6"/>
  <c r="H543" i="6" s="1"/>
  <c r="F545" i="6" l="1"/>
  <c r="G544" i="6"/>
  <c r="H544" i="6" s="1"/>
  <c r="G545" i="6" l="1"/>
  <c r="H545" i="6" s="1"/>
  <c r="F546" i="6"/>
  <c r="G546" i="6" l="1"/>
  <c r="H546" i="6" s="1"/>
  <c r="F547" i="6"/>
  <c r="G547" i="6" l="1"/>
  <c r="H547" i="6" s="1"/>
  <c r="F548" i="6"/>
  <c r="F549" i="6" l="1"/>
  <c r="G548" i="6"/>
  <c r="H548" i="6" s="1"/>
  <c r="F550" i="6" l="1"/>
  <c r="G549" i="6"/>
  <c r="H549" i="6" s="1"/>
  <c r="G550" i="6" l="1"/>
  <c r="H550" i="6" s="1"/>
  <c r="F551" i="6"/>
  <c r="F552" i="6" l="1"/>
  <c r="G551" i="6"/>
  <c r="H551" i="6" s="1"/>
  <c r="F553" i="6" l="1"/>
  <c r="G552" i="6"/>
  <c r="H552" i="6" s="1"/>
  <c r="G553" i="6" l="1"/>
  <c r="H553" i="6" s="1"/>
  <c r="F554" i="6"/>
  <c r="G554" i="6" l="1"/>
  <c r="H554" i="6" s="1"/>
  <c r="F555" i="6"/>
  <c r="F556" i="6" l="1"/>
  <c r="G555" i="6"/>
  <c r="H555" i="6" s="1"/>
  <c r="F557" i="6" l="1"/>
  <c r="G556" i="6"/>
  <c r="H556" i="6" s="1"/>
  <c r="F558" i="6" l="1"/>
  <c r="G557" i="6"/>
  <c r="H557" i="6" s="1"/>
  <c r="F559" i="6" l="1"/>
  <c r="G558" i="6"/>
  <c r="H558" i="6" s="1"/>
  <c r="G559" i="6" l="1"/>
  <c r="H559" i="6" s="1"/>
  <c r="F560" i="6"/>
  <c r="F561" i="6" l="1"/>
  <c r="G560" i="6"/>
  <c r="H560" i="6" s="1"/>
  <c r="G561" i="6" l="1"/>
  <c r="H561" i="6" s="1"/>
  <c r="F562" i="6"/>
  <c r="G562" i="6" l="1"/>
  <c r="H562" i="6" s="1"/>
  <c r="F563" i="6"/>
  <c r="F564" i="6" l="1"/>
  <c r="G563" i="6"/>
  <c r="H563" i="6" s="1"/>
  <c r="F565" i="6" l="1"/>
  <c r="G564" i="6"/>
  <c r="H564" i="6" s="1"/>
  <c r="G565" i="6" l="1"/>
  <c r="H565" i="6" s="1"/>
  <c r="F566" i="6"/>
  <c r="F567" i="6" l="1"/>
  <c r="G566" i="6"/>
  <c r="H566" i="6" s="1"/>
  <c r="G567" i="6" l="1"/>
  <c r="H567" i="6" s="1"/>
  <c r="F568" i="6"/>
  <c r="G568" i="6" l="1"/>
  <c r="H568" i="6" s="1"/>
  <c r="F569" i="6"/>
  <c r="F570" i="6" l="1"/>
  <c r="G569" i="6"/>
  <c r="H569" i="6" s="1"/>
  <c r="G570" i="6" l="1"/>
  <c r="H570" i="6" s="1"/>
  <c r="F571" i="6"/>
  <c r="G571" i="6" l="1"/>
  <c r="H571" i="6" s="1"/>
  <c r="F572" i="6"/>
  <c r="F573" i="6" l="1"/>
  <c r="G572" i="6"/>
  <c r="H572" i="6" s="1"/>
  <c r="G573" i="6" l="1"/>
  <c r="H573" i="6" s="1"/>
  <c r="F574" i="6"/>
  <c r="F575" i="6" l="1"/>
  <c r="G574" i="6"/>
  <c r="H574" i="6" s="1"/>
  <c r="G575" i="6" l="1"/>
  <c r="H575" i="6" s="1"/>
  <c r="F576" i="6"/>
  <c r="G576" i="6" l="1"/>
  <c r="H576" i="6" s="1"/>
  <c r="F577" i="6"/>
  <c r="G577" i="6" l="1"/>
  <c r="H577" i="6" s="1"/>
  <c r="F578" i="6"/>
  <c r="F579" i="6" l="1"/>
  <c r="G578" i="6"/>
  <c r="H578" i="6" s="1"/>
  <c r="F580" i="6" l="1"/>
  <c r="G579" i="6"/>
  <c r="H579" i="6" s="1"/>
  <c r="G580" i="6" l="1"/>
  <c r="H580" i="6" s="1"/>
  <c r="F581" i="6"/>
  <c r="G581" i="6" l="1"/>
  <c r="H581" i="6" s="1"/>
  <c r="F582" i="6"/>
  <c r="F583" i="6" l="1"/>
  <c r="G582" i="6"/>
  <c r="H582" i="6" s="1"/>
  <c r="G583" i="6" l="1"/>
  <c r="H583" i="6" s="1"/>
  <c r="F584" i="6"/>
  <c r="G584" i="6" l="1"/>
  <c r="H584" i="6" s="1"/>
  <c r="F585" i="6"/>
  <c r="F586" i="6" l="1"/>
  <c r="G585" i="6"/>
  <c r="H585" i="6" s="1"/>
  <c r="F587" i="6" l="1"/>
  <c r="G586" i="6"/>
  <c r="H586" i="6" s="1"/>
  <c r="G587" i="6" l="1"/>
  <c r="H587" i="6" s="1"/>
  <c r="F588" i="6"/>
  <c r="F589" i="6" l="1"/>
  <c r="G588" i="6"/>
  <c r="H588" i="6" s="1"/>
  <c r="G589" i="6" l="1"/>
  <c r="H589" i="6" s="1"/>
  <c r="F590" i="6"/>
  <c r="F591" i="6" l="1"/>
  <c r="G590" i="6"/>
  <c r="H590" i="6" s="1"/>
  <c r="F592" i="6" l="1"/>
  <c r="G591" i="6"/>
  <c r="H591" i="6" s="1"/>
  <c r="G592" i="6" l="1"/>
  <c r="H592" i="6" s="1"/>
  <c r="F593" i="6"/>
  <c r="G593" i="6" l="1"/>
  <c r="H593" i="6" s="1"/>
  <c r="F594" i="6"/>
  <c r="F595" i="6" l="1"/>
  <c r="G594" i="6"/>
  <c r="H594" i="6" s="1"/>
  <c r="G595" i="6" l="1"/>
  <c r="H595" i="6" s="1"/>
  <c r="F596" i="6"/>
  <c r="G596" i="6" l="1"/>
  <c r="H596" i="6" s="1"/>
  <c r="F597" i="6"/>
  <c r="G597" i="6" l="1"/>
  <c r="H597" i="6" s="1"/>
  <c r="F598" i="6"/>
  <c r="G598" i="6" l="1"/>
  <c r="H598" i="6" s="1"/>
  <c r="F599" i="6"/>
  <c r="F600" i="6" l="1"/>
  <c r="G599" i="6"/>
  <c r="H599" i="6" s="1"/>
  <c r="G600" i="6" l="1"/>
  <c r="H600" i="6" s="1"/>
  <c r="F601" i="6"/>
  <c r="G601" i="6" l="1"/>
  <c r="H601" i="6" s="1"/>
  <c r="F602" i="6"/>
  <c r="F603" i="6" l="1"/>
  <c r="G602" i="6"/>
  <c r="H602" i="6" s="1"/>
  <c r="G603" i="6" l="1"/>
  <c r="H603" i="6" s="1"/>
  <c r="F604" i="6"/>
  <c r="G604" i="6" l="1"/>
  <c r="H604" i="6" s="1"/>
  <c r="F605" i="6"/>
  <c r="G605" i="6" l="1"/>
  <c r="H605" i="6" s="1"/>
  <c r="F606" i="6"/>
  <c r="F607" i="6" l="1"/>
  <c r="G606" i="6"/>
  <c r="H606" i="6" s="1"/>
  <c r="G607" i="6" l="1"/>
  <c r="H607" i="6" s="1"/>
  <c r="F608" i="6"/>
  <c r="G608" i="6" l="1"/>
  <c r="H608" i="6" s="1"/>
  <c r="F609" i="6"/>
  <c r="F610" i="6" l="1"/>
  <c r="G609" i="6"/>
  <c r="H609" i="6" s="1"/>
  <c r="F611" i="6" l="1"/>
  <c r="G610" i="6"/>
  <c r="H610" i="6" s="1"/>
  <c r="G611" i="6" l="1"/>
  <c r="H611" i="6" s="1"/>
  <c r="F612" i="6"/>
  <c r="F613" i="6" l="1"/>
  <c r="G612" i="6"/>
  <c r="H612" i="6" s="1"/>
  <c r="G613" i="6" l="1"/>
  <c r="H613" i="6" s="1"/>
  <c r="F614" i="6"/>
  <c r="F615" i="6" l="1"/>
  <c r="G614" i="6"/>
  <c r="H614" i="6" s="1"/>
  <c r="F616" i="6" l="1"/>
  <c r="G615" i="6"/>
  <c r="H615" i="6" s="1"/>
  <c r="G616" i="6" l="1"/>
  <c r="H616" i="6" s="1"/>
  <c r="F617" i="6"/>
  <c r="G617" i="6" l="1"/>
  <c r="H617" i="6" s="1"/>
  <c r="F618" i="6"/>
  <c r="F619" i="6" l="1"/>
  <c r="G618" i="6"/>
  <c r="H618" i="6" s="1"/>
  <c r="G619" i="6" l="1"/>
  <c r="H619" i="6" s="1"/>
  <c r="F620" i="6"/>
  <c r="F621" i="6" l="1"/>
  <c r="G620" i="6"/>
  <c r="H620" i="6" s="1"/>
  <c r="G621" i="6" l="1"/>
  <c r="H621" i="6" s="1"/>
  <c r="F622" i="6"/>
  <c r="F623" i="6" l="1"/>
  <c r="G622" i="6"/>
  <c r="H622" i="6" s="1"/>
  <c r="F624" i="6" l="1"/>
  <c r="G623" i="6"/>
  <c r="H623" i="6" s="1"/>
  <c r="G624" i="6" l="1"/>
  <c r="H624" i="6" s="1"/>
  <c r="F625" i="6"/>
  <c r="G625" i="6" l="1"/>
  <c r="H625" i="6" s="1"/>
  <c r="F626" i="6"/>
  <c r="F627" i="6" l="1"/>
  <c r="G626" i="6"/>
  <c r="H626" i="6" s="1"/>
  <c r="F628" i="6" l="1"/>
  <c r="G627" i="6"/>
  <c r="H627" i="6" s="1"/>
  <c r="G628" i="6" l="1"/>
  <c r="H628" i="6" s="1"/>
  <c r="F629" i="6"/>
  <c r="G629" i="6" l="1"/>
  <c r="H629" i="6" s="1"/>
  <c r="F630" i="6"/>
  <c r="F631" i="6" l="1"/>
  <c r="G630" i="6"/>
  <c r="H630" i="6" s="1"/>
  <c r="F632" i="6" l="1"/>
  <c r="G631" i="6"/>
  <c r="H631" i="6" s="1"/>
  <c r="G632" i="6" l="1"/>
  <c r="H632" i="6" s="1"/>
  <c r="F633" i="6"/>
  <c r="G633" i="6" l="1"/>
  <c r="H633" i="6" s="1"/>
  <c r="F634" i="6"/>
  <c r="F635" i="6" l="1"/>
  <c r="G634" i="6"/>
  <c r="H634" i="6" s="1"/>
  <c r="G635" i="6" l="1"/>
  <c r="H635" i="6" s="1"/>
  <c r="F636" i="6"/>
  <c r="F637" i="6" l="1"/>
  <c r="G636" i="6"/>
  <c r="H636" i="6" s="1"/>
  <c r="F638" i="6" l="1"/>
  <c r="G637" i="6"/>
  <c r="H637" i="6" s="1"/>
  <c r="G638" i="6" l="1"/>
  <c r="H638" i="6" s="1"/>
  <c r="F639" i="6"/>
  <c r="G639" i="6" l="1"/>
  <c r="H639" i="6" s="1"/>
  <c r="F640" i="6"/>
  <c r="G640" i="6" l="1"/>
  <c r="H640" i="6" s="1"/>
  <c r="F641" i="6"/>
  <c r="G641" i="6" l="1"/>
  <c r="H641" i="6" s="1"/>
  <c r="F642" i="6"/>
  <c r="F643" i="6" l="1"/>
  <c r="G642" i="6"/>
  <c r="H642" i="6" s="1"/>
  <c r="F644" i="6" l="1"/>
  <c r="G643" i="6"/>
  <c r="H643" i="6" s="1"/>
  <c r="F645" i="6" l="1"/>
  <c r="G644" i="6"/>
  <c r="H644" i="6" s="1"/>
  <c r="G645" i="6" l="1"/>
  <c r="H645" i="6" s="1"/>
  <c r="F646" i="6"/>
  <c r="F647" i="6" l="1"/>
  <c r="G646" i="6"/>
  <c r="H646" i="6" s="1"/>
  <c r="F648" i="6" l="1"/>
  <c r="G647" i="6"/>
  <c r="H647" i="6" s="1"/>
  <c r="G648" i="6" l="1"/>
  <c r="H648" i="6" s="1"/>
  <c r="F649" i="6"/>
  <c r="F650" i="6" l="1"/>
  <c r="G649" i="6"/>
  <c r="H649" i="6" s="1"/>
  <c r="F651" i="6" l="1"/>
  <c r="G650" i="6"/>
  <c r="H650" i="6" s="1"/>
  <c r="F652" i="6" l="1"/>
  <c r="G651" i="6"/>
  <c r="H651" i="6" s="1"/>
  <c r="F653" i="6" l="1"/>
  <c r="G652" i="6"/>
  <c r="H652" i="6" s="1"/>
  <c r="G653" i="6" l="1"/>
  <c r="H653" i="6" s="1"/>
  <c r="F654" i="6"/>
  <c r="G654" i="6" l="1"/>
  <c r="H654" i="6" s="1"/>
  <c r="F655" i="6"/>
  <c r="F656" i="6" l="1"/>
  <c r="G655" i="6"/>
  <c r="H655" i="6" s="1"/>
  <c r="G656" i="6" l="1"/>
  <c r="H656" i="6" s="1"/>
  <c r="F657" i="6"/>
  <c r="G657" i="6" l="1"/>
  <c r="H657" i="6" s="1"/>
  <c r="F658" i="6"/>
  <c r="F659" i="6" l="1"/>
  <c r="G658" i="6"/>
  <c r="H658" i="6" s="1"/>
  <c r="G659" i="6" l="1"/>
  <c r="H659" i="6" s="1"/>
  <c r="F660" i="6"/>
  <c r="F661" i="6" l="1"/>
  <c r="G660" i="6"/>
  <c r="H660" i="6" s="1"/>
  <c r="G661" i="6" l="1"/>
  <c r="H661" i="6" s="1"/>
  <c r="F662" i="6"/>
  <c r="G662" i="6" l="1"/>
  <c r="H662" i="6" s="1"/>
  <c r="F663" i="6"/>
  <c r="F664" i="6" l="1"/>
  <c r="G663" i="6"/>
  <c r="H663" i="6" s="1"/>
  <c r="G664" i="6" l="1"/>
  <c r="H664" i="6" s="1"/>
  <c r="F665" i="6"/>
  <c r="G665" i="6" l="1"/>
  <c r="H665" i="6" s="1"/>
  <c r="F666" i="6"/>
  <c r="F667" i="6" l="1"/>
  <c r="G666" i="6"/>
  <c r="H666" i="6" s="1"/>
  <c r="G667" i="6" l="1"/>
  <c r="H667" i="6" s="1"/>
  <c r="F668" i="6"/>
  <c r="G668" i="6" l="1"/>
  <c r="H668" i="6" s="1"/>
  <c r="F669" i="6"/>
  <c r="G669" i="6" l="1"/>
  <c r="H669" i="6" s="1"/>
  <c r="F670" i="6"/>
  <c r="G670" i="6" l="1"/>
  <c r="H670" i="6" s="1"/>
  <c r="F671" i="6"/>
  <c r="G671" i="6" l="1"/>
  <c r="H671" i="6" s="1"/>
  <c r="F672" i="6"/>
  <c r="G672" i="6" l="1"/>
  <c r="H672" i="6" s="1"/>
  <c r="F673" i="6"/>
  <c r="G673" i="6" l="1"/>
  <c r="H673" i="6" s="1"/>
  <c r="F674" i="6"/>
  <c r="F675" i="6" l="1"/>
  <c r="G674" i="6"/>
  <c r="H674" i="6" s="1"/>
  <c r="G675" i="6" l="1"/>
  <c r="H675" i="6" s="1"/>
  <c r="F676" i="6"/>
  <c r="G676" i="6" l="1"/>
  <c r="H676" i="6" s="1"/>
  <c r="F677" i="6"/>
  <c r="G677" i="6" l="1"/>
  <c r="H677" i="6" s="1"/>
  <c r="F678" i="6"/>
  <c r="G678" i="6" l="1"/>
  <c r="H678" i="6" s="1"/>
  <c r="F679" i="6"/>
  <c r="G679" i="6" l="1"/>
  <c r="H679" i="6" s="1"/>
  <c r="F680" i="6"/>
  <c r="G680" i="6" l="1"/>
  <c r="H680" i="6" s="1"/>
  <c r="F681" i="6"/>
  <c r="G681" i="6" l="1"/>
  <c r="H681" i="6" s="1"/>
  <c r="F682" i="6"/>
  <c r="F683" i="6" l="1"/>
  <c r="G682" i="6"/>
  <c r="H682" i="6" s="1"/>
  <c r="G683" i="6" l="1"/>
  <c r="H683" i="6" s="1"/>
  <c r="F684" i="6"/>
  <c r="F685" i="6" l="1"/>
  <c r="G684" i="6"/>
  <c r="H684" i="6" s="1"/>
  <c r="F686" i="6" l="1"/>
  <c r="G685" i="6"/>
  <c r="H685" i="6" s="1"/>
  <c r="F687" i="6" l="1"/>
  <c r="G686" i="6"/>
  <c r="H686" i="6" s="1"/>
  <c r="F688" i="6" l="1"/>
  <c r="G687" i="6"/>
  <c r="H687" i="6" s="1"/>
  <c r="G688" i="6" l="1"/>
  <c r="H688" i="6" s="1"/>
  <c r="F689" i="6"/>
  <c r="F690" i="6" l="1"/>
  <c r="G689" i="6"/>
  <c r="H689" i="6" s="1"/>
  <c r="F691" i="6" l="1"/>
  <c r="G690" i="6"/>
  <c r="H690" i="6" s="1"/>
  <c r="G691" i="6" l="1"/>
  <c r="H691" i="6" s="1"/>
  <c r="F692" i="6"/>
  <c r="F693" i="6" l="1"/>
  <c r="G692" i="6"/>
  <c r="H692" i="6" s="1"/>
  <c r="F694" i="6" l="1"/>
  <c r="G693" i="6"/>
  <c r="H693" i="6" s="1"/>
  <c r="G694" i="6" l="1"/>
  <c r="H694" i="6" s="1"/>
  <c r="F695" i="6"/>
  <c r="G695" i="6" l="1"/>
  <c r="H695" i="6" s="1"/>
  <c r="F696" i="6"/>
  <c r="G696" i="6" l="1"/>
  <c r="H696" i="6" s="1"/>
  <c r="F697" i="6"/>
  <c r="G697" i="6" l="1"/>
  <c r="H697" i="6" s="1"/>
  <c r="F698" i="6"/>
  <c r="F699" i="6" l="1"/>
  <c r="G698" i="6"/>
  <c r="H698" i="6" s="1"/>
  <c r="G699" i="6" l="1"/>
  <c r="H699" i="6" s="1"/>
  <c r="F700" i="6"/>
  <c r="F701" i="6" l="1"/>
  <c r="G700" i="6"/>
  <c r="H700" i="6" s="1"/>
  <c r="F702" i="6" l="1"/>
  <c r="G701" i="6"/>
  <c r="H701" i="6" s="1"/>
  <c r="G702" i="6" l="1"/>
  <c r="H702" i="6" s="1"/>
  <c r="F703" i="6"/>
  <c r="F704" i="6" l="1"/>
  <c r="G703" i="6"/>
  <c r="H703" i="6" s="1"/>
  <c r="G704" i="6" l="1"/>
  <c r="H704" i="6" s="1"/>
  <c r="F705" i="6"/>
  <c r="G705" i="6" l="1"/>
  <c r="H705" i="6" s="1"/>
  <c r="F706" i="6"/>
  <c r="F707" i="6" l="1"/>
  <c r="G706" i="6"/>
  <c r="H706" i="6" s="1"/>
  <c r="F708" i="6" l="1"/>
  <c r="G707" i="6"/>
  <c r="H707" i="6" s="1"/>
  <c r="F709" i="6" l="1"/>
  <c r="G708" i="6"/>
  <c r="H708" i="6" s="1"/>
  <c r="G709" i="6" l="1"/>
  <c r="H709" i="6" s="1"/>
  <c r="F710" i="6"/>
  <c r="F711" i="6" l="1"/>
  <c r="G710" i="6"/>
  <c r="H710" i="6" s="1"/>
  <c r="G711" i="6" l="1"/>
  <c r="H711" i="6" s="1"/>
  <c r="F712" i="6"/>
  <c r="G712" i="6" l="1"/>
  <c r="H712" i="6" s="1"/>
  <c r="F713" i="6"/>
  <c r="F714" i="6" l="1"/>
  <c r="G713" i="6"/>
  <c r="H713" i="6" s="1"/>
  <c r="F715" i="6" l="1"/>
  <c r="G714" i="6"/>
  <c r="H714" i="6" s="1"/>
  <c r="F716" i="6" l="1"/>
  <c r="G715" i="6"/>
  <c r="H715" i="6" s="1"/>
  <c r="F717" i="6" l="1"/>
  <c r="G716" i="6"/>
  <c r="H716" i="6" s="1"/>
  <c r="F718" i="6" l="1"/>
  <c r="G717" i="6"/>
  <c r="H717" i="6" s="1"/>
  <c r="G718" i="6" l="1"/>
  <c r="H718" i="6" s="1"/>
  <c r="F719" i="6"/>
  <c r="F720" i="6" l="1"/>
  <c r="G719" i="6"/>
  <c r="H719" i="6" s="1"/>
  <c r="G720" i="6" l="1"/>
  <c r="H720" i="6" s="1"/>
  <c r="F721" i="6"/>
  <c r="F722" i="6" l="1"/>
  <c r="G721" i="6"/>
  <c r="H721" i="6" s="1"/>
  <c r="F723" i="6" l="1"/>
  <c r="G722" i="6"/>
  <c r="H722" i="6" s="1"/>
  <c r="G723" i="6" l="1"/>
  <c r="H723" i="6" s="1"/>
  <c r="F724" i="6"/>
  <c r="F725" i="6" l="1"/>
  <c r="G724" i="6"/>
  <c r="H724" i="6" s="1"/>
  <c r="G725" i="6" l="1"/>
  <c r="H725" i="6" s="1"/>
  <c r="F726" i="6"/>
  <c r="G726" i="6" l="1"/>
  <c r="H726" i="6" s="1"/>
  <c r="F727" i="6"/>
  <c r="G727" i="6" l="1"/>
  <c r="H727" i="6" s="1"/>
  <c r="F728" i="6"/>
  <c r="G728" i="6" l="1"/>
  <c r="H728" i="6" s="1"/>
  <c r="F729" i="6"/>
  <c r="G729" i="6" l="1"/>
  <c r="H729" i="6" s="1"/>
  <c r="F730" i="6"/>
  <c r="F731" i="6" l="1"/>
  <c r="G730" i="6"/>
  <c r="H730" i="6" s="1"/>
  <c r="F732" i="6" l="1"/>
  <c r="G731" i="6"/>
  <c r="H731" i="6" s="1"/>
  <c r="G732" i="6" l="1"/>
  <c r="H732" i="6" s="1"/>
  <c r="F733" i="6"/>
  <c r="G733" i="6" l="1"/>
  <c r="H733" i="6" s="1"/>
  <c r="F734" i="6"/>
  <c r="F735" i="6" l="1"/>
  <c r="G734" i="6"/>
  <c r="H734" i="6" s="1"/>
  <c r="G735" i="6" l="1"/>
  <c r="H735" i="6" s="1"/>
  <c r="F736" i="6"/>
  <c r="G736" i="6" l="1"/>
  <c r="H736" i="6" s="1"/>
  <c r="F737" i="6"/>
  <c r="G737" i="6" l="1"/>
  <c r="H737" i="6" s="1"/>
  <c r="F738" i="6"/>
  <c r="F739" i="6" l="1"/>
  <c r="G738" i="6"/>
  <c r="H738" i="6" s="1"/>
  <c r="G739" i="6" l="1"/>
  <c r="H739" i="6" s="1"/>
  <c r="F740" i="6"/>
  <c r="G740" i="6" l="1"/>
  <c r="H740" i="6" s="1"/>
  <c r="F741" i="6"/>
  <c r="G741" i="6" l="1"/>
  <c r="H741" i="6" s="1"/>
  <c r="F742" i="6"/>
  <c r="G742" i="6" l="1"/>
  <c r="H742" i="6" s="1"/>
  <c r="F743" i="6"/>
  <c r="G743" i="6" l="1"/>
  <c r="H743" i="6" s="1"/>
  <c r="F744" i="6"/>
  <c r="G744" i="6" l="1"/>
  <c r="H744" i="6" s="1"/>
  <c r="F745" i="6"/>
  <c r="F746" i="6" l="1"/>
  <c r="G745" i="6"/>
  <c r="H745" i="6" s="1"/>
  <c r="F747" i="6" l="1"/>
  <c r="G746" i="6"/>
  <c r="H746" i="6" s="1"/>
  <c r="G747" i="6" l="1"/>
  <c r="H747" i="6" s="1"/>
  <c r="F748" i="6"/>
  <c r="F749" i="6" l="1"/>
  <c r="G748" i="6"/>
  <c r="H748" i="6" s="1"/>
  <c r="G749" i="6" l="1"/>
  <c r="H749" i="6" s="1"/>
  <c r="F750" i="6"/>
  <c r="F751" i="6" l="1"/>
  <c r="G750" i="6"/>
  <c r="H750" i="6" s="1"/>
  <c r="G751" i="6" l="1"/>
  <c r="H751" i="6" s="1"/>
  <c r="F752" i="6"/>
  <c r="G752" i="6" l="1"/>
  <c r="H752" i="6" s="1"/>
  <c r="F753" i="6"/>
  <c r="G753" i="6" l="1"/>
  <c r="H753" i="6" s="1"/>
  <c r="F754" i="6"/>
  <c r="F755" i="6" l="1"/>
  <c r="G754" i="6"/>
  <c r="H754" i="6" s="1"/>
  <c r="G755" i="6" l="1"/>
  <c r="H755" i="6" s="1"/>
  <c r="F756" i="6"/>
  <c r="G756" i="6" l="1"/>
  <c r="H756" i="6" s="1"/>
  <c r="F757" i="6"/>
  <c r="G757" i="6" l="1"/>
  <c r="H757" i="6" s="1"/>
  <c r="F758" i="6"/>
  <c r="F759" i="6" l="1"/>
  <c r="G758" i="6"/>
  <c r="H758" i="6" s="1"/>
  <c r="F760" i="6" l="1"/>
  <c r="G759" i="6"/>
  <c r="H759" i="6" s="1"/>
  <c r="G760" i="6" l="1"/>
  <c r="H760" i="6" s="1"/>
  <c r="F761" i="6"/>
  <c r="G761" i="6" l="1"/>
  <c r="H761" i="6" s="1"/>
  <c r="F762" i="6"/>
  <c r="F763" i="6" l="1"/>
  <c r="G762" i="6"/>
  <c r="H762" i="6" s="1"/>
  <c r="G763" i="6" l="1"/>
  <c r="H763" i="6" s="1"/>
  <c r="F764" i="6"/>
  <c r="G764" i="6" l="1"/>
  <c r="H764" i="6" s="1"/>
  <c r="F765" i="6"/>
  <c r="F766" i="6" l="1"/>
  <c r="G765" i="6"/>
  <c r="H765" i="6" s="1"/>
  <c r="G766" i="6" l="1"/>
  <c r="H766" i="6" s="1"/>
  <c r="F767" i="6"/>
  <c r="F768" i="6" l="1"/>
  <c r="G767" i="6"/>
  <c r="H767" i="6" s="1"/>
  <c r="G768" i="6" l="1"/>
  <c r="H768" i="6" s="1"/>
  <c r="F769" i="6"/>
  <c r="G769" i="6" l="1"/>
  <c r="H769" i="6" s="1"/>
  <c r="F770" i="6"/>
  <c r="F771" i="6" l="1"/>
  <c r="G770" i="6"/>
  <c r="H770" i="6" s="1"/>
  <c r="F772" i="6" l="1"/>
  <c r="G771" i="6"/>
  <c r="H771" i="6" s="1"/>
  <c r="F773" i="6" l="1"/>
  <c r="G772" i="6"/>
  <c r="H772" i="6" s="1"/>
  <c r="G773" i="6" l="1"/>
  <c r="H773" i="6" s="1"/>
  <c r="F774" i="6"/>
  <c r="F775" i="6" l="1"/>
  <c r="G774" i="6"/>
  <c r="H774" i="6" s="1"/>
  <c r="G775" i="6" l="1"/>
  <c r="H775" i="6" s="1"/>
  <c r="F776" i="6"/>
  <c r="G776" i="6" l="1"/>
  <c r="H776" i="6" s="1"/>
  <c r="F777" i="6"/>
  <c r="F778" i="6" l="1"/>
  <c r="G777" i="6"/>
  <c r="H777" i="6" s="1"/>
  <c r="F779" i="6" l="1"/>
  <c r="G778" i="6"/>
  <c r="H778" i="6" s="1"/>
  <c r="G779" i="6" l="1"/>
  <c r="H779" i="6" s="1"/>
  <c r="F780" i="6"/>
  <c r="F781" i="6" l="1"/>
  <c r="G780" i="6"/>
  <c r="H780" i="6" s="1"/>
  <c r="G781" i="6" l="1"/>
  <c r="H781" i="6" s="1"/>
  <c r="F782" i="6"/>
  <c r="G782" i="6" l="1"/>
  <c r="H782" i="6" s="1"/>
  <c r="F783" i="6"/>
  <c r="F784" i="6" l="1"/>
  <c r="G783" i="6"/>
  <c r="H783" i="6" s="1"/>
  <c r="G784" i="6" l="1"/>
  <c r="H784" i="6" s="1"/>
  <c r="F785" i="6"/>
  <c r="F786" i="6" l="1"/>
  <c r="G785" i="6"/>
  <c r="H785" i="6" s="1"/>
  <c r="F787" i="6" l="1"/>
  <c r="G786" i="6"/>
  <c r="H786" i="6" s="1"/>
  <c r="G787" i="6" l="1"/>
  <c r="H787" i="6" s="1"/>
  <c r="F788" i="6"/>
  <c r="F789" i="6" l="1"/>
  <c r="G788" i="6"/>
  <c r="H788" i="6" s="1"/>
  <c r="G789" i="6" l="1"/>
  <c r="H789" i="6" s="1"/>
  <c r="F790" i="6"/>
  <c r="G790" i="6" l="1"/>
  <c r="H790" i="6" s="1"/>
  <c r="F791" i="6"/>
  <c r="F792" i="6" l="1"/>
  <c r="G791" i="6"/>
  <c r="H791" i="6" s="1"/>
  <c r="G792" i="6" l="1"/>
  <c r="H792" i="6" s="1"/>
  <c r="F793" i="6"/>
  <c r="G793" i="6" l="1"/>
  <c r="H793" i="6" s="1"/>
  <c r="F794" i="6"/>
  <c r="F795" i="6" l="1"/>
  <c r="G794" i="6"/>
  <c r="H794" i="6" s="1"/>
  <c r="F796" i="6" l="1"/>
  <c r="G795" i="6"/>
  <c r="H795" i="6" s="1"/>
  <c r="G796" i="6" l="1"/>
  <c r="H796" i="6" s="1"/>
  <c r="F797" i="6"/>
  <c r="G797" i="6" l="1"/>
  <c r="H797" i="6" s="1"/>
  <c r="F798" i="6"/>
  <c r="F799" i="6" l="1"/>
  <c r="G798" i="6"/>
  <c r="H798" i="6" s="1"/>
  <c r="G799" i="6" l="1"/>
  <c r="H799" i="6" s="1"/>
  <c r="F800" i="6"/>
  <c r="G800" i="6" l="1"/>
  <c r="H800" i="6" s="1"/>
  <c r="F801" i="6"/>
  <c r="F802" i="6" l="1"/>
  <c r="G801" i="6"/>
  <c r="H801" i="6" s="1"/>
  <c r="F803" i="6" l="1"/>
  <c r="G802" i="6"/>
  <c r="H802" i="6" s="1"/>
  <c r="F804" i="6" l="1"/>
  <c r="G803" i="6"/>
  <c r="H803" i="6" s="1"/>
  <c r="F805" i="6" l="1"/>
  <c r="G804" i="6"/>
  <c r="H804" i="6" s="1"/>
  <c r="G805" i="6" l="1"/>
  <c r="H805" i="6" s="1"/>
  <c r="F806" i="6"/>
  <c r="F807" i="6" l="1"/>
  <c r="G806" i="6"/>
  <c r="H806" i="6" s="1"/>
  <c r="G807" i="6" l="1"/>
  <c r="H807" i="6" s="1"/>
  <c r="F808" i="6"/>
  <c r="G808" i="6" l="1"/>
  <c r="H808" i="6" s="1"/>
  <c r="F809" i="6"/>
  <c r="F810" i="6" l="1"/>
  <c r="G809" i="6"/>
  <c r="H809" i="6" s="1"/>
  <c r="F811" i="6" l="1"/>
  <c r="G810" i="6"/>
  <c r="H810" i="6" s="1"/>
  <c r="F812" i="6" l="1"/>
  <c r="G811" i="6"/>
  <c r="H811" i="6" s="1"/>
  <c r="G812" i="6" l="1"/>
  <c r="H812" i="6" s="1"/>
  <c r="F813" i="6"/>
  <c r="G813" i="6" l="1"/>
  <c r="H813" i="6" s="1"/>
  <c r="F814" i="6"/>
  <c r="G814" i="6" l="1"/>
  <c r="H814" i="6" s="1"/>
  <c r="F815" i="6"/>
  <c r="F816" i="6" l="1"/>
  <c r="G815" i="6"/>
  <c r="H815" i="6" s="1"/>
  <c r="G816" i="6" l="1"/>
  <c r="H816" i="6" s="1"/>
  <c r="F817" i="6"/>
  <c r="F818" i="6" l="1"/>
  <c r="G817" i="6"/>
  <c r="H817" i="6" s="1"/>
  <c r="F819" i="6" l="1"/>
  <c r="G818" i="6"/>
  <c r="H818" i="6" s="1"/>
  <c r="G819" i="6" l="1"/>
  <c r="H819" i="6" s="1"/>
  <c r="F820" i="6"/>
  <c r="G820" i="6" l="1"/>
  <c r="H820" i="6" s="1"/>
  <c r="F821" i="6"/>
  <c r="G821" i="6" l="1"/>
  <c r="H821" i="6" s="1"/>
  <c r="F822" i="6"/>
  <c r="F823" i="6" l="1"/>
  <c r="G822" i="6"/>
  <c r="H822" i="6" s="1"/>
  <c r="F824" i="6" l="1"/>
  <c r="G823" i="6"/>
  <c r="H823" i="6" s="1"/>
  <c r="G824" i="6" l="1"/>
  <c r="H824" i="6" s="1"/>
  <c r="F825" i="6"/>
  <c r="F826" i="6" l="1"/>
  <c r="G825" i="6"/>
  <c r="H825" i="6" s="1"/>
  <c r="F827" i="6" l="1"/>
  <c r="G826" i="6"/>
  <c r="H826" i="6" s="1"/>
  <c r="G827" i="6" l="1"/>
  <c r="H827" i="6" s="1"/>
  <c r="F828" i="6"/>
  <c r="G828" i="6" l="1"/>
  <c r="H828" i="6" s="1"/>
  <c r="F829" i="6"/>
  <c r="F830" i="6" l="1"/>
  <c r="G829" i="6"/>
  <c r="H829" i="6" s="1"/>
  <c r="F831" i="6" l="1"/>
  <c r="G830" i="6"/>
  <c r="H830" i="6" s="1"/>
  <c r="F832" i="6" l="1"/>
  <c r="G831" i="6"/>
  <c r="H831" i="6" s="1"/>
  <c r="G832" i="6" l="1"/>
  <c r="H832" i="6" s="1"/>
  <c r="F833" i="6"/>
  <c r="G833" i="6" l="1"/>
  <c r="H833" i="6" s="1"/>
  <c r="F834" i="6"/>
  <c r="F835" i="6" l="1"/>
  <c r="G834" i="6"/>
  <c r="H834" i="6" s="1"/>
  <c r="F836" i="6" l="1"/>
  <c r="G835" i="6"/>
  <c r="H835" i="6" s="1"/>
  <c r="G836" i="6" l="1"/>
  <c r="H836" i="6" s="1"/>
  <c r="F837" i="6"/>
  <c r="F838" i="6" l="1"/>
  <c r="G837" i="6"/>
  <c r="H837" i="6" s="1"/>
  <c r="F839" i="6" l="1"/>
  <c r="G838" i="6"/>
  <c r="H838" i="6" s="1"/>
  <c r="F840" i="6" l="1"/>
  <c r="G839" i="6"/>
  <c r="H839" i="6" s="1"/>
  <c r="G840" i="6" l="1"/>
  <c r="H840" i="6" s="1"/>
  <c r="F841" i="6"/>
  <c r="F842" i="6" l="1"/>
  <c r="G841" i="6"/>
  <c r="H841" i="6" s="1"/>
  <c r="F843" i="6" l="1"/>
  <c r="G842" i="6"/>
  <c r="H842" i="6" s="1"/>
  <c r="F844" i="6" l="1"/>
  <c r="G843" i="6"/>
  <c r="H843" i="6" s="1"/>
  <c r="F845" i="6" l="1"/>
  <c r="G844" i="6"/>
  <c r="H844" i="6" s="1"/>
  <c r="F846" i="6" l="1"/>
  <c r="G845" i="6"/>
  <c r="H845" i="6" s="1"/>
  <c r="G846" i="6" l="1"/>
  <c r="H846" i="6" s="1"/>
  <c r="F847" i="6"/>
  <c r="F848" i="6" l="1"/>
  <c r="G847" i="6"/>
  <c r="H847" i="6" s="1"/>
  <c r="G848" i="6" l="1"/>
  <c r="H848" i="6" s="1"/>
  <c r="F849" i="6"/>
  <c r="G849" i="6" l="1"/>
  <c r="H849" i="6" s="1"/>
  <c r="F850" i="6"/>
  <c r="F851" i="6" l="1"/>
  <c r="G850" i="6"/>
  <c r="H850" i="6" s="1"/>
  <c r="G851" i="6" l="1"/>
  <c r="H851" i="6" s="1"/>
  <c r="F852" i="6"/>
  <c r="G852" i="6" l="1"/>
  <c r="H852" i="6" s="1"/>
  <c r="F853" i="6"/>
  <c r="G853" i="6" l="1"/>
  <c r="H853" i="6" s="1"/>
  <c r="F854" i="6"/>
  <c r="G854" i="6" l="1"/>
  <c r="H854" i="6" s="1"/>
  <c r="F855" i="6"/>
  <c r="F856" i="6" l="1"/>
  <c r="G855" i="6"/>
  <c r="H855" i="6" s="1"/>
  <c r="G856" i="6" l="1"/>
  <c r="H856" i="6" s="1"/>
  <c r="F857" i="6"/>
  <c r="G857" i="6" l="1"/>
  <c r="H857" i="6" s="1"/>
  <c r="F858" i="6"/>
  <c r="F859" i="6" l="1"/>
  <c r="G858" i="6"/>
  <c r="H858" i="6" s="1"/>
  <c r="F860" i="6" l="1"/>
  <c r="G859" i="6"/>
  <c r="H859" i="6" s="1"/>
  <c r="G860" i="6" l="1"/>
  <c r="H860" i="6" s="1"/>
  <c r="F861" i="6"/>
  <c r="F862" i="6" l="1"/>
  <c r="G861" i="6"/>
  <c r="H861" i="6" s="1"/>
  <c r="F863" i="6" l="1"/>
  <c r="G862" i="6"/>
  <c r="H862" i="6" s="1"/>
  <c r="G863" i="6" l="1"/>
  <c r="H863" i="6" s="1"/>
  <c r="F864" i="6"/>
  <c r="G864" i="6" l="1"/>
  <c r="H864" i="6" s="1"/>
  <c r="F865" i="6"/>
  <c r="F866" i="6" l="1"/>
  <c r="G865" i="6"/>
  <c r="H865" i="6" s="1"/>
  <c r="F867" i="6" l="1"/>
  <c r="G866" i="6"/>
  <c r="H866" i="6" s="1"/>
  <c r="F868" i="6" l="1"/>
  <c r="G867" i="6"/>
  <c r="H867" i="6" s="1"/>
  <c r="F869" i="6" l="1"/>
  <c r="G868" i="6"/>
  <c r="H868" i="6" s="1"/>
  <c r="G869" i="6" l="1"/>
  <c r="H869" i="6" s="1"/>
  <c r="F870" i="6"/>
  <c r="G870" i="6" l="1"/>
  <c r="H870" i="6" s="1"/>
  <c r="F871" i="6"/>
  <c r="G871" i="6" l="1"/>
  <c r="H871" i="6" s="1"/>
  <c r="F872" i="6"/>
  <c r="G872" i="6" l="1"/>
  <c r="H872" i="6" s="1"/>
  <c r="F873" i="6"/>
  <c r="F874" i="6" l="1"/>
  <c r="G873" i="6"/>
  <c r="H873" i="6" s="1"/>
  <c r="F875" i="6" l="1"/>
  <c r="G874" i="6"/>
  <c r="H874" i="6" s="1"/>
  <c r="G875" i="6" l="1"/>
  <c r="H875" i="6" s="1"/>
  <c r="F876" i="6"/>
  <c r="G876" i="6" l="1"/>
  <c r="H876" i="6" s="1"/>
  <c r="F877" i="6"/>
  <c r="G877" i="6" l="1"/>
  <c r="H877" i="6" s="1"/>
  <c r="F878" i="6"/>
  <c r="F879" i="6" l="1"/>
  <c r="G878" i="6"/>
  <c r="H878" i="6" s="1"/>
  <c r="G879" i="6" l="1"/>
  <c r="H879" i="6" s="1"/>
  <c r="F880" i="6"/>
  <c r="G880" i="6" l="1"/>
  <c r="H880" i="6" s="1"/>
  <c r="F881" i="6"/>
  <c r="G881" i="6" l="1"/>
  <c r="H881" i="6" s="1"/>
  <c r="F882" i="6"/>
  <c r="F883" i="6" l="1"/>
  <c r="G882" i="6"/>
  <c r="H882" i="6" s="1"/>
  <c r="G883" i="6" l="1"/>
  <c r="H883" i="6" s="1"/>
  <c r="F884" i="6"/>
  <c r="F885" i="6" l="1"/>
  <c r="G884" i="6"/>
  <c r="H884" i="6" s="1"/>
  <c r="G885" i="6" l="1"/>
  <c r="H885" i="6" s="1"/>
  <c r="F886" i="6"/>
  <c r="G886" i="6" l="1"/>
  <c r="H886" i="6" s="1"/>
  <c r="F887" i="6"/>
  <c r="G887" i="6" l="1"/>
  <c r="H887" i="6" s="1"/>
  <c r="F888" i="6"/>
  <c r="G888" i="6" l="1"/>
  <c r="H888" i="6" s="1"/>
  <c r="F889" i="6"/>
  <c r="F890" i="6" l="1"/>
  <c r="G889" i="6"/>
  <c r="H889" i="6" s="1"/>
  <c r="F891" i="6" l="1"/>
  <c r="G890" i="6"/>
  <c r="H890" i="6" s="1"/>
  <c r="F892" i="6" l="1"/>
  <c r="G891" i="6"/>
  <c r="H891" i="6" s="1"/>
  <c r="F893" i="6" l="1"/>
  <c r="G892" i="6"/>
  <c r="H892" i="6" s="1"/>
  <c r="F894" i="6" l="1"/>
  <c r="G893" i="6"/>
  <c r="H893" i="6" s="1"/>
  <c r="F895" i="6" l="1"/>
  <c r="G894" i="6"/>
  <c r="H894" i="6" s="1"/>
  <c r="G895" i="6" l="1"/>
  <c r="H895" i="6" s="1"/>
  <c r="F896" i="6"/>
  <c r="G896" i="6" l="1"/>
  <c r="H896" i="6" s="1"/>
  <c r="F897" i="6"/>
  <c r="G897" i="6" l="1"/>
  <c r="H897" i="6" s="1"/>
  <c r="F898" i="6"/>
  <c r="F899" i="6" l="1"/>
  <c r="G898" i="6"/>
  <c r="H898" i="6" s="1"/>
  <c r="F900" i="6" l="1"/>
  <c r="G899" i="6"/>
  <c r="H899" i="6" s="1"/>
  <c r="F901" i="6" l="1"/>
  <c r="G900" i="6"/>
  <c r="H900" i="6" s="1"/>
  <c r="G901" i="6" l="1"/>
  <c r="H901" i="6" s="1"/>
  <c r="F902" i="6"/>
  <c r="F903" i="6" l="1"/>
  <c r="G902" i="6"/>
  <c r="H902" i="6" s="1"/>
  <c r="F904" i="6" l="1"/>
  <c r="G903" i="6"/>
  <c r="H903" i="6" s="1"/>
  <c r="G904" i="6" l="1"/>
  <c r="H904" i="6" s="1"/>
  <c r="F905" i="6"/>
  <c r="F906" i="6" l="1"/>
  <c r="G905" i="6"/>
  <c r="H905" i="6" s="1"/>
  <c r="F907" i="6" l="1"/>
  <c r="G906" i="6"/>
  <c r="H906" i="6" s="1"/>
  <c r="G907" i="6" l="1"/>
  <c r="H907" i="6" s="1"/>
  <c r="F908" i="6"/>
  <c r="F909" i="6" l="1"/>
  <c r="G908" i="6"/>
  <c r="H908" i="6" s="1"/>
  <c r="G909" i="6" l="1"/>
  <c r="H909" i="6" s="1"/>
  <c r="F910" i="6"/>
  <c r="F911" i="6" l="1"/>
  <c r="G910" i="6"/>
  <c r="H910" i="6" s="1"/>
  <c r="F912" i="6" l="1"/>
  <c r="G911" i="6"/>
  <c r="H911" i="6" s="1"/>
  <c r="G912" i="6" l="1"/>
  <c r="H912" i="6" s="1"/>
  <c r="F913" i="6"/>
  <c r="F914" i="6" l="1"/>
  <c r="G913" i="6"/>
  <c r="H913" i="6" s="1"/>
  <c r="F915" i="6" l="1"/>
  <c r="G914" i="6"/>
  <c r="H914" i="6" s="1"/>
  <c r="G915" i="6" l="1"/>
  <c r="H915" i="6" s="1"/>
  <c r="F916" i="6"/>
  <c r="F917" i="6" l="1"/>
  <c r="G916" i="6"/>
  <c r="H916" i="6" s="1"/>
  <c r="F918" i="6" l="1"/>
  <c r="G917" i="6"/>
  <c r="H917" i="6" s="1"/>
  <c r="G918" i="6" l="1"/>
  <c r="H918" i="6" s="1"/>
  <c r="F919" i="6"/>
  <c r="G919" i="6" l="1"/>
  <c r="H919" i="6" s="1"/>
  <c r="F920" i="6"/>
  <c r="G920" i="6" l="1"/>
  <c r="H920" i="6" s="1"/>
  <c r="F921" i="6"/>
  <c r="G921" i="6" l="1"/>
  <c r="H921" i="6" s="1"/>
  <c r="F922" i="6"/>
  <c r="F923" i="6" l="1"/>
  <c r="G922" i="6"/>
  <c r="H922" i="6" s="1"/>
  <c r="G923" i="6" l="1"/>
  <c r="H923" i="6" s="1"/>
  <c r="F924" i="6"/>
  <c r="G924" i="6" l="1"/>
  <c r="H924" i="6" s="1"/>
  <c r="F925" i="6"/>
  <c r="G925" i="6" l="1"/>
  <c r="H925" i="6" s="1"/>
  <c r="F926" i="6"/>
  <c r="F927" i="6" l="1"/>
  <c r="G926" i="6"/>
  <c r="H926" i="6" s="1"/>
  <c r="G927" i="6" l="1"/>
  <c r="H927" i="6" s="1"/>
  <c r="F928" i="6"/>
  <c r="G928" i="6" l="1"/>
  <c r="H928" i="6" s="1"/>
  <c r="F929" i="6"/>
  <c r="F930" i="6" l="1"/>
  <c r="G929" i="6"/>
  <c r="H929" i="6" s="1"/>
  <c r="F931" i="6" l="1"/>
  <c r="G930" i="6"/>
  <c r="H930" i="6" s="1"/>
  <c r="F932" i="6" l="1"/>
  <c r="G931" i="6"/>
  <c r="H931" i="6" s="1"/>
  <c r="F933" i="6" l="1"/>
  <c r="G932" i="6"/>
  <c r="H932" i="6" s="1"/>
  <c r="G933" i="6" l="1"/>
  <c r="H933" i="6" s="1"/>
  <c r="F934" i="6"/>
  <c r="F935" i="6" l="1"/>
  <c r="G934" i="6"/>
  <c r="H934" i="6" s="1"/>
  <c r="G935" i="6" l="1"/>
  <c r="H935" i="6" s="1"/>
  <c r="F936" i="6"/>
  <c r="G936" i="6" l="1"/>
  <c r="H936" i="6" s="1"/>
  <c r="F937" i="6"/>
  <c r="F938" i="6" l="1"/>
  <c r="G937" i="6"/>
  <c r="H937" i="6" s="1"/>
  <c r="F939" i="6" l="1"/>
  <c r="G938" i="6"/>
  <c r="H938" i="6" s="1"/>
  <c r="G939" i="6" l="1"/>
  <c r="H939" i="6" s="1"/>
  <c r="F940" i="6"/>
  <c r="F941" i="6" l="1"/>
  <c r="G940" i="6"/>
  <c r="H940" i="6" s="1"/>
  <c r="G941" i="6" l="1"/>
  <c r="H941" i="6" s="1"/>
  <c r="F942" i="6"/>
  <c r="G942" i="6" l="1"/>
  <c r="H942" i="6" s="1"/>
  <c r="F943" i="6"/>
  <c r="G943" i="6" l="1"/>
  <c r="H943" i="6" s="1"/>
  <c r="F944" i="6"/>
  <c r="G944" i="6" l="1"/>
  <c r="H944" i="6" s="1"/>
  <c r="F945" i="6"/>
  <c r="F946" i="6" l="1"/>
  <c r="G945" i="6"/>
  <c r="H945" i="6" s="1"/>
  <c r="F947" i="6" l="1"/>
  <c r="G946" i="6"/>
  <c r="H946" i="6" s="1"/>
  <c r="G947" i="6" l="1"/>
  <c r="H947" i="6" s="1"/>
  <c r="F948" i="6"/>
  <c r="G948" i="6" l="1"/>
  <c r="H948" i="6" s="1"/>
  <c r="F949" i="6"/>
  <c r="G949" i="6" l="1"/>
  <c r="H949" i="6" s="1"/>
  <c r="F950" i="6"/>
  <c r="F951" i="6" l="1"/>
  <c r="G950" i="6"/>
  <c r="H950" i="6" s="1"/>
  <c r="G951" i="6" l="1"/>
  <c r="H951" i="6" s="1"/>
  <c r="F952" i="6"/>
  <c r="G952" i="6" l="1"/>
  <c r="H952" i="6" s="1"/>
  <c r="F953" i="6"/>
  <c r="F954" i="6" l="1"/>
  <c r="G953" i="6"/>
  <c r="H953" i="6" s="1"/>
  <c r="F955" i="6" l="1"/>
  <c r="G954" i="6"/>
  <c r="H954" i="6" s="1"/>
  <c r="G955" i="6" l="1"/>
  <c r="H955" i="6" s="1"/>
  <c r="F956" i="6"/>
  <c r="G956" i="6" l="1"/>
  <c r="H956" i="6" s="1"/>
  <c r="F957" i="6"/>
  <c r="F958" i="6" l="1"/>
  <c r="G957" i="6"/>
  <c r="H957" i="6" s="1"/>
  <c r="F959" i="6" l="1"/>
  <c r="G958" i="6"/>
  <c r="H958" i="6" s="1"/>
  <c r="G959" i="6" l="1"/>
  <c r="H959" i="6" s="1"/>
  <c r="F960" i="6"/>
  <c r="G960" i="6" l="1"/>
  <c r="H960" i="6" s="1"/>
  <c r="F961" i="6"/>
  <c r="F962" i="6" l="1"/>
  <c r="G961" i="6"/>
  <c r="H961" i="6" s="1"/>
  <c r="F963" i="6" l="1"/>
  <c r="G962" i="6"/>
  <c r="H962" i="6" s="1"/>
  <c r="F964" i="6" l="1"/>
  <c r="G963" i="6"/>
  <c r="H963" i="6" s="1"/>
  <c r="F965" i="6" l="1"/>
  <c r="G964" i="6"/>
  <c r="H964" i="6" s="1"/>
  <c r="G965" i="6" l="1"/>
  <c r="H965" i="6" s="1"/>
  <c r="F966" i="6"/>
  <c r="F967" i="6" l="1"/>
  <c r="G966" i="6"/>
  <c r="H966" i="6" s="1"/>
  <c r="G967" i="6" l="1"/>
  <c r="H967" i="6" s="1"/>
  <c r="F968" i="6"/>
  <c r="G968" i="6" l="1"/>
  <c r="H968" i="6" s="1"/>
  <c r="F969" i="6"/>
  <c r="F970" i="6" l="1"/>
  <c r="G969" i="6"/>
  <c r="H969" i="6" s="1"/>
  <c r="F971" i="6" l="1"/>
  <c r="G970" i="6"/>
  <c r="H970" i="6" s="1"/>
  <c r="G971" i="6" l="1"/>
  <c r="H971" i="6" s="1"/>
  <c r="F972" i="6"/>
  <c r="F973" i="6" l="1"/>
  <c r="G972" i="6"/>
  <c r="H972" i="6" s="1"/>
  <c r="F974" i="6" l="1"/>
  <c r="G973" i="6"/>
  <c r="H973" i="6" s="1"/>
  <c r="F975" i="6" l="1"/>
  <c r="G974" i="6"/>
  <c r="H974" i="6" s="1"/>
  <c r="F976" i="6" l="1"/>
  <c r="G975" i="6"/>
  <c r="H975" i="6" s="1"/>
  <c r="G976" i="6" l="1"/>
  <c r="H976" i="6" s="1"/>
  <c r="F977" i="6"/>
  <c r="G977" i="6" l="1"/>
  <c r="H977" i="6" s="1"/>
  <c r="F978" i="6"/>
  <c r="F979" i="6" l="1"/>
  <c r="G978" i="6"/>
  <c r="H978" i="6" s="1"/>
  <c r="G979" i="6" l="1"/>
  <c r="H979" i="6" s="1"/>
  <c r="F980" i="6"/>
  <c r="G980" i="6" l="1"/>
  <c r="H980" i="6" s="1"/>
  <c r="F981" i="6"/>
  <c r="G981" i="6" l="1"/>
  <c r="H981" i="6" s="1"/>
  <c r="F982" i="6"/>
  <c r="G982" i="6" l="1"/>
  <c r="H982" i="6" s="1"/>
  <c r="F983" i="6"/>
  <c r="F984" i="6" l="1"/>
  <c r="G983" i="6"/>
  <c r="H983" i="6" s="1"/>
  <c r="G984" i="6" l="1"/>
  <c r="H984" i="6" s="1"/>
  <c r="F985" i="6"/>
  <c r="G985" i="6" l="1"/>
  <c r="H985" i="6" s="1"/>
  <c r="F986" i="6"/>
  <c r="F987" i="6" l="1"/>
  <c r="G986" i="6"/>
  <c r="H986" i="6" s="1"/>
  <c r="G987" i="6" l="1"/>
  <c r="H987" i="6" s="1"/>
  <c r="F988" i="6"/>
  <c r="G988" i="6" l="1"/>
  <c r="H988" i="6" s="1"/>
  <c r="F989" i="6"/>
  <c r="G989" i="6" l="1"/>
  <c r="H989" i="6" s="1"/>
  <c r="F990" i="6"/>
  <c r="F991" i="6" l="1"/>
  <c r="G990" i="6"/>
  <c r="H990" i="6" s="1"/>
  <c r="G991" i="6" l="1"/>
  <c r="H991" i="6" s="1"/>
  <c r="F992" i="6"/>
  <c r="G992" i="6" l="1"/>
  <c r="H992" i="6" s="1"/>
  <c r="F993" i="6"/>
  <c r="G993" i="6" l="1"/>
  <c r="H993" i="6" s="1"/>
  <c r="F994" i="6"/>
  <c r="F995" i="6" l="1"/>
  <c r="G994" i="6"/>
  <c r="H994" i="6" s="1"/>
  <c r="G995" i="6" l="1"/>
  <c r="H995" i="6" s="1"/>
  <c r="F996" i="6"/>
  <c r="G996" i="6" l="1"/>
  <c r="H996" i="6" s="1"/>
  <c r="F997" i="6"/>
  <c r="G997" i="6" l="1"/>
  <c r="H997" i="6" s="1"/>
  <c r="F998" i="6"/>
  <c r="G998" i="6" l="1"/>
  <c r="H998" i="6" s="1"/>
  <c r="F999" i="6"/>
  <c r="G999" i="6" l="1"/>
  <c r="H999" i="6" s="1"/>
  <c r="F1000" i="6"/>
  <c r="G1000" i="6" l="1"/>
  <c r="H1000" i="6" s="1"/>
  <c r="F1001" i="6"/>
  <c r="G1001" i="6" l="1"/>
  <c r="H1001" i="6" s="1"/>
  <c r="F1002" i="6"/>
  <c r="F1003" i="6" l="1"/>
  <c r="G1002" i="6"/>
  <c r="H1002" i="6" s="1"/>
  <c r="G1003" i="6" l="1"/>
  <c r="H1003" i="6" s="1"/>
  <c r="F1004" i="6"/>
  <c r="F1005" i="6" l="1"/>
  <c r="G1004" i="6"/>
  <c r="H1004" i="6" s="1"/>
  <c r="G1005" i="6" l="1"/>
  <c r="H1005" i="6" s="1"/>
  <c r="F1006" i="6"/>
  <c r="F1007" i="6" l="1"/>
  <c r="G1006" i="6"/>
  <c r="H1006" i="6" s="1"/>
  <c r="G1007" i="6" l="1"/>
  <c r="H1007" i="6" s="1"/>
  <c r="F1008" i="6"/>
  <c r="G1008" i="6" l="1"/>
  <c r="H1008" i="6" s="1"/>
  <c r="F1009" i="6"/>
  <c r="F1010" i="6" l="1"/>
  <c r="G1009" i="6"/>
  <c r="H1009" i="6" s="1"/>
  <c r="F1011" i="6" l="1"/>
  <c r="G1010" i="6"/>
  <c r="H1010" i="6" s="1"/>
  <c r="F1012" i="6" l="1"/>
  <c r="G1011" i="6"/>
  <c r="H1011" i="6" s="1"/>
  <c r="G1012" i="6" l="1"/>
  <c r="H1012" i="6" s="1"/>
  <c r="F1013" i="6"/>
  <c r="F1014" i="6" l="1"/>
  <c r="G1013" i="6"/>
  <c r="H1013" i="6" s="1"/>
  <c r="F1015" i="6" l="1"/>
  <c r="G1014" i="6"/>
  <c r="H1014" i="6" s="1"/>
  <c r="G1015" i="6" l="1"/>
  <c r="H1015" i="6" s="1"/>
  <c r="F1016" i="6"/>
  <c r="G1016" i="6" l="1"/>
  <c r="H1016" i="6" s="1"/>
  <c r="F1017" i="6"/>
  <c r="G1017" i="6" l="1"/>
  <c r="H1017" i="6" s="1"/>
  <c r="F1018" i="6"/>
  <c r="F1019" i="6" l="1"/>
  <c r="G1018" i="6"/>
  <c r="H1018" i="6" s="1"/>
  <c r="G1019" i="6" l="1"/>
  <c r="H1019" i="6" s="1"/>
  <c r="F1020" i="6"/>
  <c r="G1020" i="6" l="1"/>
  <c r="H1020" i="6" s="1"/>
  <c r="F1021" i="6"/>
  <c r="F1022" i="6" l="1"/>
  <c r="G1021" i="6"/>
  <c r="H1021" i="6" s="1"/>
  <c r="F1023" i="6" l="1"/>
  <c r="G1022" i="6"/>
  <c r="H1022" i="6" s="1"/>
  <c r="G1023" i="6" l="1"/>
  <c r="H1023" i="6" s="1"/>
  <c r="F1024" i="6"/>
  <c r="G1024" i="6" l="1"/>
  <c r="H1024" i="6" s="1"/>
  <c r="F1025" i="6"/>
  <c r="F1026" i="6" l="1"/>
  <c r="G1025" i="6"/>
  <c r="H1025" i="6" s="1"/>
  <c r="F1027" i="6" l="1"/>
  <c r="G1026" i="6"/>
  <c r="H1026" i="6" s="1"/>
  <c r="F1028" i="6" l="1"/>
  <c r="G1027" i="6"/>
  <c r="H1027" i="6" s="1"/>
  <c r="G1028" i="6" l="1"/>
  <c r="H1028" i="6" s="1"/>
  <c r="F1029" i="6"/>
  <c r="G1029" i="6" l="1"/>
  <c r="H1029" i="6" s="1"/>
  <c r="F1030" i="6"/>
  <c r="F1031" i="6" l="1"/>
  <c r="G1030" i="6"/>
  <c r="H1030" i="6" s="1"/>
  <c r="G1031" i="6" l="1"/>
  <c r="H1031" i="6" s="1"/>
  <c r="F1032" i="6"/>
  <c r="G1032" i="6" l="1"/>
  <c r="H1032" i="6" s="1"/>
  <c r="F1033" i="6"/>
  <c r="F1034" i="6" l="1"/>
  <c r="G1033" i="6"/>
  <c r="H1033" i="6" s="1"/>
  <c r="F1035" i="6" l="1"/>
  <c r="G1034" i="6"/>
  <c r="H1034" i="6" s="1"/>
  <c r="G1035" i="6" l="1"/>
  <c r="H1035" i="6" s="1"/>
  <c r="F1036" i="6"/>
  <c r="F1037" i="6" l="1"/>
  <c r="G1036" i="6"/>
  <c r="H1036" i="6" s="1"/>
  <c r="G1037" i="6" l="1"/>
  <c r="H1037" i="6" s="1"/>
  <c r="F1038" i="6"/>
  <c r="F1039" i="6" l="1"/>
  <c r="G1038" i="6"/>
  <c r="H1038" i="6" s="1"/>
  <c r="F1040" i="6" l="1"/>
  <c r="G1039" i="6"/>
  <c r="H1039" i="6" s="1"/>
  <c r="G1040" i="6" l="1"/>
  <c r="H1040" i="6" s="1"/>
  <c r="F1041" i="6"/>
  <c r="G1041" i="6" l="1"/>
  <c r="H1041" i="6" s="1"/>
  <c r="F1042" i="6"/>
  <c r="F1043" i="6" l="1"/>
  <c r="G1042" i="6"/>
  <c r="H1042" i="6" s="1"/>
  <c r="G1043" i="6" l="1"/>
  <c r="H1043" i="6" s="1"/>
  <c r="F1044" i="6"/>
  <c r="G1044" i="6" l="1"/>
  <c r="H1044" i="6" s="1"/>
  <c r="F1045" i="6"/>
  <c r="G1045" i="6" l="1"/>
  <c r="H1045" i="6" s="1"/>
  <c r="F1046" i="6"/>
  <c r="G1046" i="6" l="1"/>
  <c r="H1046" i="6" s="1"/>
  <c r="F1047" i="6"/>
  <c r="G1047" i="6" l="1"/>
  <c r="H1047" i="6" s="1"/>
  <c r="F1048" i="6"/>
  <c r="G1048" i="6" l="1"/>
  <c r="H1048" i="6" s="1"/>
  <c r="F1049" i="6"/>
  <c r="G1049" i="6" l="1"/>
  <c r="H1049" i="6" s="1"/>
  <c r="F1050" i="6"/>
  <c r="F1051" i="6" l="1"/>
  <c r="G1050" i="6"/>
  <c r="H1050" i="6" s="1"/>
  <c r="G1051" i="6" l="1"/>
  <c r="H1051" i="6" s="1"/>
  <c r="F1052" i="6"/>
  <c r="G1052" i="6" l="1"/>
  <c r="H1052" i="6" s="1"/>
  <c r="F1053" i="6"/>
  <c r="F1054" i="6" l="1"/>
  <c r="G1053" i="6"/>
  <c r="H1053" i="6" s="1"/>
  <c r="G1054" i="6" l="1"/>
  <c r="H1054" i="6" s="1"/>
  <c r="F1055" i="6"/>
  <c r="G1055" i="6" l="1"/>
  <c r="H1055" i="6" s="1"/>
  <c r="F1056" i="6"/>
  <c r="G1056" i="6" l="1"/>
  <c r="H1056" i="6" s="1"/>
  <c r="F1057" i="6"/>
  <c r="G1057" i="6" l="1"/>
  <c r="H1057" i="6" s="1"/>
  <c r="F1058" i="6"/>
  <c r="F1059" i="6" l="1"/>
  <c r="G1058" i="6"/>
  <c r="H1058" i="6" s="1"/>
  <c r="G1059" i="6" l="1"/>
  <c r="H1059" i="6" s="1"/>
  <c r="F1060" i="6"/>
  <c r="G1060" i="6" l="1"/>
  <c r="H1060" i="6" s="1"/>
  <c r="F1061" i="6"/>
  <c r="G1061" i="6" l="1"/>
  <c r="H1061" i="6" s="1"/>
  <c r="F1062" i="6"/>
  <c r="F1063" i="6" l="1"/>
  <c r="G1062" i="6"/>
  <c r="H1062" i="6" s="1"/>
  <c r="F1064" i="6" l="1"/>
  <c r="G1063" i="6"/>
  <c r="H1063" i="6" s="1"/>
  <c r="G1064" i="6" l="1"/>
  <c r="H1064" i="6" s="1"/>
  <c r="F1065" i="6"/>
  <c r="F1066" i="6" l="1"/>
  <c r="G1065" i="6"/>
  <c r="H1065" i="6" s="1"/>
  <c r="F1067" i="6" l="1"/>
  <c r="G1066" i="6"/>
  <c r="H1066" i="6" s="1"/>
  <c r="F1068" i="6" l="1"/>
  <c r="G1067" i="6"/>
  <c r="H1067" i="6" s="1"/>
  <c r="G1068" i="6" l="1"/>
  <c r="H1068" i="6" s="1"/>
  <c r="F1069" i="6"/>
  <c r="F1070" i="6" l="1"/>
  <c r="G1069" i="6"/>
  <c r="H1069" i="6" s="1"/>
  <c r="G1070" i="6" l="1"/>
  <c r="H1070" i="6" s="1"/>
  <c r="F1071" i="6"/>
  <c r="G1071" i="6" l="1"/>
  <c r="H1071" i="6" s="1"/>
  <c r="F1072" i="6"/>
  <c r="G1072" i="6" l="1"/>
  <c r="H1072" i="6" s="1"/>
  <c r="F1073" i="6"/>
  <c r="G1073" i="6" l="1"/>
  <c r="H1073" i="6" s="1"/>
  <c r="F1074" i="6"/>
  <c r="F1075" i="6" l="1"/>
  <c r="G1074" i="6"/>
  <c r="H1074" i="6" s="1"/>
  <c r="G1075" i="6" l="1"/>
  <c r="H1075" i="6" s="1"/>
  <c r="F1076" i="6"/>
  <c r="F1077" i="6" l="1"/>
  <c r="G1076" i="6"/>
  <c r="H1076" i="6" s="1"/>
  <c r="G1077" i="6" l="1"/>
  <c r="H1077" i="6" s="1"/>
  <c r="F1078" i="6"/>
  <c r="G1078" i="6" l="1"/>
  <c r="H1078" i="6" s="1"/>
  <c r="F1079" i="6"/>
  <c r="F1080" i="6" l="1"/>
  <c r="G1079" i="6"/>
  <c r="H1079" i="6" s="1"/>
  <c r="G1080" i="6" l="1"/>
  <c r="H1080" i="6" s="1"/>
  <c r="F1081" i="6"/>
  <c r="G1081" i="6" l="1"/>
  <c r="H1081" i="6" s="1"/>
  <c r="F1082" i="6"/>
  <c r="F1083" i="6" l="1"/>
  <c r="G1082" i="6"/>
  <c r="H1082" i="6" s="1"/>
  <c r="G1083" i="6" l="1"/>
  <c r="H1083" i="6" s="1"/>
  <c r="F1084" i="6"/>
  <c r="F1085" i="6" l="1"/>
  <c r="G1084" i="6"/>
  <c r="H1084" i="6" s="1"/>
  <c r="F1086" i="6" l="1"/>
  <c r="G1085" i="6"/>
  <c r="H1085" i="6" s="1"/>
  <c r="G1086" i="6" l="1"/>
  <c r="H1086" i="6" s="1"/>
  <c r="F1087" i="6"/>
  <c r="F1088" i="6" l="1"/>
  <c r="G1087" i="6"/>
  <c r="H1087" i="6" s="1"/>
  <c r="G1088" i="6" l="1"/>
  <c r="H1088" i="6" s="1"/>
  <c r="F1089" i="6"/>
  <c r="G1089" i="6" l="1"/>
  <c r="H1089" i="6" s="1"/>
  <c r="F1090" i="6"/>
  <c r="F1091" i="6" l="1"/>
  <c r="G1090" i="6"/>
  <c r="H1090" i="6" s="1"/>
  <c r="F1092" i="6" l="1"/>
  <c r="G1091" i="6"/>
  <c r="H1091" i="6" s="1"/>
  <c r="G1092" i="6" l="1"/>
  <c r="H1092" i="6" s="1"/>
  <c r="F1093" i="6"/>
  <c r="G1093" i="6" l="1"/>
  <c r="H1093" i="6" s="1"/>
  <c r="F1094" i="6"/>
  <c r="F1095" i="6" l="1"/>
  <c r="G1094" i="6"/>
  <c r="H1094" i="6" s="1"/>
  <c r="G1095" i="6" l="1"/>
  <c r="H1095" i="6" s="1"/>
  <c r="F1096" i="6"/>
  <c r="G1096" i="6" l="1"/>
  <c r="H1096" i="6" s="1"/>
  <c r="F1097" i="6"/>
  <c r="F1098" i="6" l="1"/>
  <c r="G1097" i="6"/>
  <c r="H1097" i="6" s="1"/>
  <c r="F1099" i="6" l="1"/>
  <c r="G1098" i="6"/>
  <c r="H1098" i="6" s="1"/>
  <c r="G1099" i="6" l="1"/>
  <c r="H1099" i="6" s="1"/>
  <c r="F1100" i="6"/>
  <c r="F1101" i="6" l="1"/>
  <c r="G1100" i="6"/>
  <c r="H1100" i="6" s="1"/>
  <c r="G1101" i="6" l="1"/>
  <c r="H1101" i="6" s="1"/>
  <c r="F1102" i="6"/>
  <c r="G1102" i="6" l="1"/>
  <c r="H1102" i="6" s="1"/>
  <c r="F1103" i="6"/>
  <c r="F1104" i="6" l="1"/>
  <c r="G1103" i="6"/>
  <c r="H1103" i="6" s="1"/>
  <c r="G1104" i="6" l="1"/>
  <c r="H1104" i="6" s="1"/>
  <c r="F1105" i="6"/>
  <c r="F1106" i="6" l="1"/>
  <c r="G1105" i="6"/>
  <c r="H1105" i="6" s="1"/>
  <c r="F1107" i="6" l="1"/>
  <c r="G1106" i="6"/>
  <c r="H1106" i="6" s="1"/>
  <c r="G1107" i="6" l="1"/>
  <c r="H1107" i="6" s="1"/>
  <c r="F1108" i="6"/>
  <c r="G1108" i="6" l="1"/>
  <c r="H1108" i="6" s="1"/>
  <c r="F1109" i="6"/>
  <c r="G1109" i="6" l="1"/>
  <c r="H1109" i="6" s="1"/>
  <c r="F1110" i="6"/>
  <c r="G1110" i="6" l="1"/>
  <c r="H1110" i="6" s="1"/>
  <c r="F1111" i="6"/>
  <c r="G1111" i="6" l="1"/>
  <c r="H1111" i="6" s="1"/>
  <c r="F1112" i="6"/>
  <c r="G1112" i="6" l="1"/>
  <c r="H1112" i="6" s="1"/>
  <c r="F1113" i="6"/>
  <c r="G1113" i="6" l="1"/>
  <c r="H1113" i="6" s="1"/>
  <c r="F1114" i="6"/>
  <c r="F1115" i="6" l="1"/>
  <c r="G1114" i="6"/>
  <c r="H1114" i="6" s="1"/>
  <c r="F1116" i="6" l="1"/>
  <c r="G1115" i="6"/>
  <c r="H1115" i="6" s="1"/>
  <c r="G1116" i="6" l="1"/>
  <c r="H1116" i="6" s="1"/>
  <c r="F1117" i="6"/>
  <c r="F1118" i="6" l="1"/>
  <c r="G1117" i="6"/>
  <c r="H1117" i="6" s="1"/>
  <c r="G1118" i="6" l="1"/>
  <c r="H1118" i="6" s="1"/>
  <c r="F1119" i="6"/>
  <c r="G1119" i="6" l="1"/>
  <c r="H1119" i="6" s="1"/>
  <c r="F1120" i="6"/>
  <c r="G1120" i="6" l="1"/>
  <c r="H1120" i="6" s="1"/>
  <c r="F1121" i="6"/>
  <c r="F1122" i="6" l="1"/>
  <c r="G1121" i="6"/>
  <c r="H1121" i="6" s="1"/>
  <c r="F1123" i="6" l="1"/>
  <c r="G1122" i="6"/>
  <c r="H1122" i="6" s="1"/>
  <c r="F1124" i="6" l="1"/>
  <c r="G1123" i="6"/>
  <c r="H1123" i="6" s="1"/>
  <c r="G1124" i="6" l="1"/>
  <c r="H1124" i="6" s="1"/>
  <c r="F1125" i="6"/>
  <c r="F1126" i="6" l="1"/>
  <c r="G1125" i="6"/>
  <c r="H1125" i="6" s="1"/>
  <c r="G1126" i="6" l="1"/>
  <c r="H1126" i="6" s="1"/>
  <c r="F1127" i="6"/>
  <c r="G1127" i="6" l="1"/>
  <c r="H1127" i="6" s="1"/>
  <c r="F1128" i="6"/>
  <c r="F1129" i="6" l="1"/>
  <c r="G1128" i="6"/>
  <c r="H1128" i="6" s="1"/>
  <c r="F1130" i="6" l="1"/>
  <c r="G1129" i="6"/>
  <c r="H1129" i="6" s="1"/>
  <c r="G1130" i="6" l="1"/>
  <c r="H1130" i="6" s="1"/>
  <c r="F1131" i="6"/>
  <c r="F1132" i="6" l="1"/>
  <c r="G1131" i="6"/>
  <c r="H1131" i="6" s="1"/>
  <c r="G1132" i="6" l="1"/>
  <c r="H1132" i="6" s="1"/>
  <c r="F1133" i="6"/>
  <c r="F1134" i="6" l="1"/>
  <c r="G1133" i="6"/>
  <c r="H1133" i="6" s="1"/>
  <c r="F1135" i="6" l="1"/>
  <c r="G1134" i="6"/>
  <c r="H1134" i="6" s="1"/>
  <c r="G1135" i="6" l="1"/>
  <c r="H1135" i="6" s="1"/>
  <c r="F1136" i="6"/>
  <c r="G1136" i="6" l="1"/>
  <c r="H1136" i="6" s="1"/>
  <c r="F1137" i="6"/>
  <c r="F1138" i="6" l="1"/>
  <c r="G1137" i="6"/>
  <c r="H1137" i="6" s="1"/>
  <c r="G1138" i="6" l="1"/>
  <c r="H1138" i="6" s="1"/>
  <c r="F1139" i="6"/>
  <c r="G1139" i="6" l="1"/>
  <c r="H1139" i="6" s="1"/>
  <c r="F1140" i="6"/>
  <c r="G1140" i="6" l="1"/>
  <c r="H1140" i="6" s="1"/>
  <c r="F1141" i="6"/>
  <c r="G1141" i="6" l="1"/>
  <c r="H1141" i="6" s="1"/>
  <c r="F1142" i="6"/>
  <c r="G1142" i="6" l="1"/>
  <c r="H1142" i="6" s="1"/>
  <c r="F1143" i="6"/>
  <c r="G1143" i="6" l="1"/>
  <c r="H1143" i="6" s="1"/>
  <c r="F1144" i="6"/>
  <c r="G1144" i="6" l="1"/>
  <c r="H1144" i="6" s="1"/>
  <c r="F1145" i="6"/>
  <c r="F1146" i="6" l="1"/>
  <c r="G1145" i="6"/>
  <c r="H1145" i="6" s="1"/>
  <c r="G1146" i="6" l="1"/>
  <c r="H1146" i="6" s="1"/>
  <c r="F1147" i="6"/>
  <c r="G1147" i="6" l="1"/>
  <c r="H1147" i="6" s="1"/>
  <c r="F1148" i="6"/>
  <c r="G1148" i="6" l="1"/>
  <c r="H1148" i="6" s="1"/>
  <c r="F1149" i="6"/>
  <c r="F1150" i="6" l="1"/>
  <c r="G1149" i="6"/>
  <c r="H1149" i="6" s="1"/>
  <c r="G1150" i="6" l="1"/>
  <c r="H1150" i="6" s="1"/>
  <c r="F1151" i="6"/>
  <c r="G1151" i="6" l="1"/>
  <c r="H1151" i="6" s="1"/>
  <c r="F1152" i="6"/>
  <c r="F1153" i="6" l="1"/>
  <c r="G1152" i="6"/>
  <c r="H1152" i="6" s="1"/>
  <c r="F1154" i="6" l="1"/>
  <c r="G1153" i="6"/>
  <c r="H1153" i="6" s="1"/>
  <c r="G1154" i="6" l="1"/>
  <c r="H1154" i="6" s="1"/>
  <c r="F1155" i="6"/>
  <c r="F1156" i="6" l="1"/>
  <c r="G1155" i="6"/>
  <c r="H1155" i="6" s="1"/>
  <c r="G1156" i="6" l="1"/>
  <c r="H1156" i="6" s="1"/>
  <c r="F1157" i="6"/>
  <c r="F1158" i="6" l="1"/>
  <c r="G1157" i="6"/>
  <c r="H1157" i="6" s="1"/>
  <c r="G1158" i="6" l="1"/>
  <c r="H1158" i="6" s="1"/>
  <c r="F1159" i="6"/>
  <c r="G1159" i="6" l="1"/>
  <c r="H1159" i="6" s="1"/>
  <c r="F1160" i="6"/>
  <c r="G1160" i="6" l="1"/>
  <c r="H1160" i="6" s="1"/>
  <c r="F1161" i="6"/>
  <c r="F1162" i="6" l="1"/>
  <c r="G1161" i="6"/>
  <c r="H1161" i="6" s="1"/>
  <c r="G1162" i="6" l="1"/>
  <c r="H1162" i="6" s="1"/>
  <c r="F1163" i="6"/>
  <c r="F1164" i="6" l="1"/>
  <c r="G1163" i="6"/>
  <c r="H1163" i="6" s="1"/>
  <c r="G1164" i="6" l="1"/>
  <c r="H1164" i="6" s="1"/>
  <c r="F1165" i="6"/>
  <c r="F1166" i="6" l="1"/>
  <c r="G1165" i="6"/>
  <c r="H1165" i="6" s="1"/>
  <c r="F1167" i="6" l="1"/>
  <c r="G1166" i="6"/>
  <c r="H1166" i="6" s="1"/>
  <c r="G1167" i="6" l="1"/>
  <c r="H1167" i="6" s="1"/>
  <c r="F1168" i="6"/>
  <c r="G1168" i="6" l="1"/>
  <c r="H1168" i="6" s="1"/>
  <c r="F1169" i="6"/>
  <c r="F1170" i="6" l="1"/>
  <c r="G1169" i="6"/>
  <c r="H1169" i="6" s="1"/>
  <c r="G1170" i="6" l="1"/>
  <c r="H1170" i="6" s="1"/>
  <c r="F1171" i="6"/>
  <c r="F1172" i="6" l="1"/>
  <c r="G1171" i="6"/>
  <c r="H1171" i="6" s="1"/>
  <c r="G1172" i="6" l="1"/>
  <c r="H1172" i="6" s="1"/>
  <c r="F1173" i="6"/>
  <c r="F1174" i="6" l="1"/>
  <c r="G1173" i="6"/>
  <c r="H1173" i="6" s="1"/>
  <c r="F1175" i="6" l="1"/>
  <c r="G1174" i="6"/>
  <c r="H1174" i="6" s="1"/>
  <c r="G1175" i="6" l="1"/>
  <c r="H1175" i="6" s="1"/>
  <c r="F1176" i="6"/>
  <c r="G1176" i="6" l="1"/>
  <c r="H1176" i="6" s="1"/>
  <c r="F1177" i="6"/>
  <c r="F1178" i="6" l="1"/>
  <c r="G1177" i="6"/>
  <c r="H1177" i="6" s="1"/>
  <c r="G1178" i="6" l="1"/>
  <c r="H1178" i="6" s="1"/>
  <c r="F1179" i="6"/>
  <c r="F1180" i="6" l="1"/>
  <c r="G1179" i="6"/>
  <c r="H1179" i="6" s="1"/>
  <c r="F1181" i="6" l="1"/>
  <c r="G1180" i="6"/>
  <c r="H1180" i="6" s="1"/>
  <c r="G1181" i="6" l="1"/>
  <c r="H1181" i="6" s="1"/>
  <c r="F1182" i="6"/>
  <c r="F1183" i="6" l="1"/>
  <c r="G1182" i="6"/>
  <c r="H1182" i="6" s="1"/>
  <c r="G1183" i="6" l="1"/>
  <c r="H1183" i="6" s="1"/>
  <c r="F1184" i="6"/>
  <c r="G1184" i="6" l="1"/>
  <c r="H1184" i="6" s="1"/>
  <c r="F1185" i="6"/>
  <c r="F1186" i="6" l="1"/>
  <c r="G1185" i="6"/>
  <c r="H1185" i="6" s="1"/>
  <c r="F1187" i="6" l="1"/>
  <c r="G1186" i="6"/>
  <c r="H1186" i="6" s="1"/>
  <c r="F1188" i="6" l="1"/>
  <c r="G1187" i="6"/>
  <c r="H1187" i="6" s="1"/>
  <c r="G1188" i="6" l="1"/>
  <c r="H1188" i="6" s="1"/>
  <c r="F1189" i="6"/>
  <c r="F1190" i="6" l="1"/>
  <c r="G1189" i="6"/>
  <c r="H1189" i="6" s="1"/>
  <c r="G1190" i="6" l="1"/>
  <c r="H1190" i="6" s="1"/>
  <c r="F1191" i="6"/>
  <c r="G1191" i="6" l="1"/>
  <c r="H1191" i="6" s="1"/>
  <c r="F1192" i="6"/>
  <c r="F1193" i="6" l="1"/>
  <c r="G1192" i="6"/>
  <c r="H1192" i="6" s="1"/>
  <c r="F1194" i="6" l="1"/>
  <c r="G1193" i="6"/>
  <c r="H1193" i="6" s="1"/>
  <c r="F1195" i="6" l="1"/>
  <c r="G1194" i="6"/>
  <c r="H1194" i="6" s="1"/>
  <c r="F1196" i="6" l="1"/>
  <c r="G1195" i="6"/>
  <c r="H1195" i="6" s="1"/>
  <c r="G1196" i="6" l="1"/>
  <c r="H1196" i="6" s="1"/>
  <c r="F1197" i="6"/>
  <c r="F1198" i="6" l="1"/>
  <c r="G1197" i="6"/>
  <c r="H1197" i="6" s="1"/>
  <c r="F1199" i="6" l="1"/>
  <c r="G1198" i="6"/>
  <c r="H1198" i="6" s="1"/>
  <c r="G1199" i="6" l="1"/>
  <c r="H1199" i="6" s="1"/>
  <c r="F1200" i="6"/>
  <c r="G1200" i="6" l="1"/>
  <c r="H1200" i="6" s="1"/>
  <c r="F1201" i="6"/>
  <c r="F1202" i="6" l="1"/>
  <c r="G1201" i="6"/>
  <c r="H1201" i="6" s="1"/>
  <c r="G1202" i="6" l="1"/>
  <c r="H1202" i="6" s="1"/>
  <c r="F1203" i="6"/>
  <c r="F1204" i="6" l="1"/>
  <c r="G1203" i="6"/>
  <c r="H1203" i="6" s="1"/>
  <c r="F1205" i="6" l="1"/>
  <c r="G1204" i="6"/>
  <c r="H1204" i="6" s="1"/>
  <c r="G1205" i="6" l="1"/>
  <c r="H1205" i="6" s="1"/>
  <c r="F1206" i="6"/>
  <c r="F1207" i="6" l="1"/>
  <c r="G1206" i="6"/>
  <c r="H1206" i="6" s="1"/>
  <c r="G1207" i="6" l="1"/>
  <c r="H1207" i="6" s="1"/>
  <c r="F1208" i="6"/>
  <c r="G1208" i="6" l="1"/>
  <c r="H1208" i="6" s="1"/>
  <c r="F1209" i="6"/>
  <c r="F1210" i="6" l="1"/>
  <c r="G1209" i="6"/>
  <c r="H1209" i="6" s="1"/>
  <c r="F1211" i="6" l="1"/>
  <c r="G1210" i="6"/>
  <c r="H1210" i="6" s="1"/>
  <c r="G1211" i="6" l="1"/>
  <c r="H1211" i="6" s="1"/>
  <c r="F1212" i="6"/>
  <c r="G1212" i="6" l="1"/>
  <c r="H1212" i="6" s="1"/>
  <c r="F1213" i="6"/>
  <c r="G1213" i="6" l="1"/>
  <c r="H1213" i="6" s="1"/>
  <c r="F1214" i="6"/>
  <c r="G1214" i="6" l="1"/>
  <c r="H1214" i="6" s="1"/>
  <c r="F1215" i="6"/>
  <c r="G1215" i="6" l="1"/>
  <c r="H1215" i="6" s="1"/>
  <c r="F1216" i="6"/>
  <c r="G1216" i="6" l="1"/>
  <c r="H1216" i="6" s="1"/>
  <c r="F1217" i="6"/>
  <c r="F1218" i="6" l="1"/>
  <c r="G1217" i="6"/>
  <c r="H1217" i="6" s="1"/>
  <c r="F1219" i="6" l="1"/>
  <c r="G1218" i="6"/>
  <c r="H1218" i="6" s="1"/>
  <c r="G1219" i="6" l="1"/>
  <c r="H1219" i="6" s="1"/>
  <c r="F1220" i="6"/>
  <c r="G1220" i="6" l="1"/>
  <c r="H1220" i="6" s="1"/>
  <c r="F1221" i="6"/>
  <c r="G1221" i="6" l="1"/>
  <c r="H1221" i="6" s="1"/>
  <c r="F1222" i="6"/>
  <c r="F1223" i="6" l="1"/>
  <c r="G1222" i="6"/>
  <c r="H1222" i="6" s="1"/>
  <c r="G1223" i="6" l="1"/>
  <c r="H1223" i="6" s="1"/>
  <c r="F1224" i="6"/>
  <c r="G1224" i="6" l="1"/>
  <c r="H1224" i="6" s="1"/>
  <c r="F1225" i="6"/>
  <c r="F1226" i="6" l="1"/>
  <c r="G1225" i="6"/>
  <c r="H1225" i="6" s="1"/>
  <c r="G1226" i="6" l="1"/>
  <c r="H1226" i="6" s="1"/>
  <c r="F1227" i="6"/>
  <c r="F1228" i="6" l="1"/>
  <c r="G1227" i="6"/>
  <c r="H1227" i="6" s="1"/>
  <c r="G1228" i="6" l="1"/>
  <c r="H1228" i="6" s="1"/>
  <c r="F1229" i="6"/>
  <c r="F1230" i="6" l="1"/>
  <c r="G1229" i="6"/>
  <c r="H1229" i="6" s="1"/>
  <c r="G1230" i="6" l="1"/>
  <c r="H1230" i="6" s="1"/>
  <c r="F1231" i="6"/>
  <c r="G1231" i="6" l="1"/>
  <c r="H1231" i="6" s="1"/>
  <c r="F1232" i="6"/>
  <c r="G1232" i="6" l="1"/>
  <c r="H1232" i="6" s="1"/>
  <c r="F1233" i="6"/>
  <c r="F1234" i="6" l="1"/>
  <c r="G1233" i="6"/>
  <c r="H1233" i="6" s="1"/>
  <c r="G1234" i="6" l="1"/>
  <c r="H1234" i="6" s="1"/>
  <c r="F1235" i="6"/>
  <c r="F1236" i="6" l="1"/>
  <c r="G1235" i="6"/>
  <c r="H1235" i="6" s="1"/>
  <c r="F1237" i="6" l="1"/>
  <c r="G1236" i="6"/>
  <c r="H1236" i="6" s="1"/>
  <c r="G1237" i="6" l="1"/>
  <c r="H1237" i="6" s="1"/>
  <c r="F1238" i="6"/>
  <c r="G1238" i="6" l="1"/>
  <c r="H1238" i="6" s="1"/>
  <c r="F1239" i="6"/>
  <c r="G1239" i="6" l="1"/>
  <c r="H1239" i="6" s="1"/>
  <c r="F1240" i="6"/>
  <c r="G1240" i="6" l="1"/>
  <c r="H1240" i="6" s="1"/>
  <c r="F1241" i="6"/>
  <c r="F1242" i="6" l="1"/>
  <c r="G1241" i="6"/>
  <c r="H1241" i="6" s="1"/>
  <c r="F1243" i="6" l="1"/>
  <c r="G1242" i="6"/>
  <c r="H1242" i="6" s="1"/>
  <c r="F1244" i="6" l="1"/>
  <c r="G1243" i="6"/>
  <c r="H1243" i="6" s="1"/>
  <c r="F1245" i="6" l="1"/>
  <c r="G1244" i="6"/>
  <c r="H1244" i="6" s="1"/>
  <c r="G1245" i="6" l="1"/>
  <c r="H1245" i="6" s="1"/>
  <c r="F1246" i="6"/>
  <c r="F1247" i="6" l="1"/>
  <c r="G1246" i="6"/>
  <c r="H1246" i="6" s="1"/>
  <c r="G1247" i="6" l="1"/>
  <c r="H1247" i="6" s="1"/>
  <c r="F1248" i="6"/>
  <c r="G1248" i="6" l="1"/>
  <c r="H1248" i="6" s="1"/>
  <c r="F1249" i="6"/>
  <c r="F1250" i="6" l="1"/>
  <c r="G1249" i="6"/>
  <c r="H1249" i="6" s="1"/>
  <c r="F1251" i="6" l="1"/>
  <c r="G1250" i="6"/>
  <c r="H1250" i="6" s="1"/>
  <c r="F1252" i="6" l="1"/>
  <c r="G1251" i="6"/>
  <c r="H1251" i="6" s="1"/>
  <c r="G1252" i="6" l="1"/>
  <c r="H1252" i="6" s="1"/>
  <c r="F1253" i="6"/>
  <c r="F1254" i="6" l="1"/>
  <c r="G1253" i="6"/>
  <c r="H1253" i="6" s="1"/>
  <c r="G1254" i="6" l="1"/>
  <c r="H1254" i="6" s="1"/>
  <c r="F1255" i="6"/>
  <c r="G1255" i="6" l="1"/>
  <c r="H1255" i="6" s="1"/>
  <c r="F1256" i="6"/>
  <c r="F1257" i="6" l="1"/>
  <c r="G1256" i="6"/>
  <c r="H1256" i="6" s="1"/>
  <c r="F1258" i="6" l="1"/>
  <c r="G1257" i="6"/>
  <c r="H1257" i="6" s="1"/>
  <c r="G1258" i="6" l="1"/>
  <c r="H1258" i="6" s="1"/>
  <c r="F1259" i="6"/>
  <c r="F1260" i="6" l="1"/>
  <c r="G1259" i="6"/>
  <c r="H1259" i="6" s="1"/>
  <c r="G1260" i="6" l="1"/>
  <c r="H1260" i="6" s="1"/>
  <c r="F1261" i="6"/>
  <c r="G1261" i="6" l="1"/>
  <c r="H1261" i="6" s="1"/>
  <c r="F1262" i="6"/>
  <c r="F1263" i="6" l="1"/>
  <c r="G1262" i="6"/>
  <c r="H1262" i="6" s="1"/>
  <c r="G1263" i="6" l="1"/>
  <c r="H1263" i="6" s="1"/>
  <c r="F1264" i="6"/>
  <c r="G1264" i="6" l="1"/>
  <c r="H1264" i="6" s="1"/>
  <c r="F1265" i="6"/>
  <c r="F1266" i="6" l="1"/>
  <c r="G1265" i="6"/>
  <c r="H1265" i="6" s="1"/>
  <c r="G1266" i="6" l="1"/>
  <c r="H1266" i="6" s="1"/>
  <c r="F1267" i="6"/>
  <c r="F1268" i="6" l="1"/>
  <c r="G1267" i="6"/>
  <c r="H1267" i="6" s="1"/>
  <c r="F1269" i="6" l="1"/>
  <c r="G1268" i="6"/>
  <c r="H1268" i="6" s="1"/>
  <c r="G1269" i="6" l="1"/>
  <c r="H1269" i="6" s="1"/>
  <c r="F1270" i="6"/>
  <c r="G1270" i="6" l="1"/>
  <c r="H1270" i="6" s="1"/>
  <c r="F1271" i="6"/>
  <c r="G1271" i="6" l="1"/>
  <c r="H1271" i="6" s="1"/>
  <c r="F1272" i="6"/>
  <c r="G1272" i="6" l="1"/>
  <c r="H1272" i="6" s="1"/>
  <c r="F1273" i="6"/>
  <c r="F1274" i="6" l="1"/>
  <c r="G1273" i="6"/>
  <c r="H1273" i="6" s="1"/>
  <c r="F1275" i="6" l="1"/>
  <c r="G1274" i="6"/>
  <c r="H1274" i="6" s="1"/>
  <c r="G1275" i="6" l="1"/>
  <c r="H1275" i="6" s="1"/>
  <c r="F1276" i="6"/>
  <c r="G1276" i="6" l="1"/>
  <c r="H1276" i="6" s="1"/>
  <c r="F1277" i="6"/>
  <c r="G1277" i="6" l="1"/>
  <c r="H1277" i="6" s="1"/>
  <c r="F1278" i="6"/>
  <c r="G1278" i="6" l="1"/>
  <c r="H1278" i="6" s="1"/>
  <c r="F1279" i="6"/>
  <c r="G1279" i="6" l="1"/>
  <c r="H1279" i="6" s="1"/>
  <c r="F1280" i="6"/>
  <c r="G1280" i="6" l="1"/>
  <c r="H1280" i="6" s="1"/>
  <c r="F1281" i="6"/>
  <c r="F1282" i="6" l="1"/>
  <c r="G1281" i="6"/>
  <c r="H1281" i="6" s="1"/>
  <c r="F1283" i="6" l="1"/>
  <c r="G1282" i="6"/>
  <c r="H1282" i="6" s="1"/>
  <c r="G1283" i="6" l="1"/>
  <c r="H1283" i="6" s="1"/>
  <c r="F1284" i="6"/>
  <c r="G1284" i="6" l="1"/>
  <c r="H1284" i="6" s="1"/>
  <c r="F1285" i="6"/>
  <c r="F1286" i="6" l="1"/>
  <c r="G1285" i="6"/>
  <c r="H1285" i="6" s="1"/>
  <c r="F1287" i="6" l="1"/>
  <c r="G1286" i="6"/>
  <c r="H1286" i="6" s="1"/>
  <c r="G1287" i="6" l="1"/>
  <c r="H1287" i="6" s="1"/>
  <c r="F1288" i="6"/>
  <c r="G1288" i="6" l="1"/>
  <c r="H1288" i="6" s="1"/>
  <c r="F1289" i="6"/>
  <c r="F1290" i="6" l="1"/>
  <c r="G1289" i="6"/>
  <c r="H1289" i="6" s="1"/>
  <c r="F1291" i="6" l="1"/>
  <c r="G1290" i="6"/>
  <c r="H1290" i="6" s="1"/>
  <c r="G1291" i="6" l="1"/>
  <c r="H1291" i="6" s="1"/>
  <c r="F1292" i="6"/>
  <c r="F1293" i="6" l="1"/>
  <c r="G1292" i="6"/>
  <c r="H1292" i="6" s="1"/>
  <c r="G1293" i="6" l="1"/>
  <c r="H1293" i="6" s="1"/>
  <c r="F1294" i="6"/>
  <c r="F1295" i="6" l="1"/>
  <c r="G1294" i="6"/>
  <c r="H1294" i="6" s="1"/>
  <c r="G1295" i="6" l="1"/>
  <c r="H1295" i="6" s="1"/>
  <c r="F1296" i="6"/>
  <c r="G1296" i="6" l="1"/>
  <c r="H1296" i="6" s="1"/>
  <c r="F1297" i="6"/>
  <c r="F1298" i="6" l="1"/>
  <c r="G1297" i="6"/>
  <c r="H1297" i="6" s="1"/>
  <c r="F1299" i="6" l="1"/>
  <c r="G1298" i="6"/>
  <c r="H1298" i="6" s="1"/>
  <c r="F1300" i="6" l="1"/>
  <c r="G1299" i="6"/>
  <c r="H1299" i="6" s="1"/>
  <c r="G1300" i="6" l="1"/>
  <c r="H1300" i="6" s="1"/>
  <c r="F1301" i="6"/>
  <c r="G1301" i="6" l="1"/>
  <c r="H1301" i="6" s="1"/>
  <c r="F1302" i="6"/>
  <c r="G1302" i="6" l="1"/>
  <c r="H1302" i="6" s="1"/>
  <c r="F1303" i="6"/>
  <c r="G1303" i="6" l="1"/>
  <c r="H1303" i="6" s="1"/>
  <c r="F1304" i="6"/>
  <c r="G1304" i="6" l="1"/>
  <c r="H1304" i="6" s="1"/>
  <c r="F1305" i="6"/>
  <c r="F1306" i="6" l="1"/>
  <c r="G1305" i="6"/>
  <c r="H1305" i="6" s="1"/>
  <c r="F1307" i="6" l="1"/>
  <c r="G1306" i="6"/>
  <c r="H1306" i="6" s="1"/>
  <c r="G1307" i="6" l="1"/>
  <c r="H1307" i="6" s="1"/>
  <c r="F1308" i="6"/>
  <c r="F1309" i="6" l="1"/>
  <c r="G1308" i="6"/>
  <c r="H1308" i="6" s="1"/>
  <c r="G1309" i="6" l="1"/>
  <c r="H1309" i="6" s="1"/>
  <c r="F1310" i="6"/>
  <c r="G1310" i="6" l="1"/>
  <c r="H1310" i="6" s="1"/>
  <c r="F1311" i="6"/>
  <c r="G1311" i="6" l="1"/>
  <c r="H1311" i="6" s="1"/>
  <c r="F1312" i="6"/>
  <c r="G1312" i="6" l="1"/>
  <c r="H1312" i="6" s="1"/>
  <c r="F1313" i="6"/>
  <c r="F1314" i="6" l="1"/>
  <c r="G1313" i="6"/>
  <c r="H1313" i="6" s="1"/>
  <c r="F1315" i="6" l="1"/>
  <c r="G1314" i="6"/>
  <c r="H1314" i="6" s="1"/>
  <c r="G1315" i="6" l="1"/>
  <c r="H1315" i="6" s="1"/>
  <c r="F1316" i="6"/>
  <c r="F1317" i="6" l="1"/>
  <c r="G1316" i="6"/>
  <c r="H1316" i="6" s="1"/>
  <c r="F1318" i="6" l="1"/>
  <c r="G1317" i="6"/>
  <c r="H1317" i="6" s="1"/>
  <c r="F1319" i="6" l="1"/>
  <c r="G1318" i="6"/>
  <c r="H1318" i="6" s="1"/>
  <c r="G1319" i="6" l="1"/>
  <c r="H1319" i="6" s="1"/>
  <c r="F1320" i="6"/>
  <c r="F1321" i="6" l="1"/>
  <c r="G1320" i="6"/>
  <c r="H1320" i="6" s="1"/>
  <c r="F1322" i="6" l="1"/>
  <c r="G1321" i="6"/>
  <c r="H1321" i="6" s="1"/>
  <c r="F1323" i="6" l="1"/>
  <c r="G1322" i="6"/>
  <c r="H1322" i="6" s="1"/>
  <c r="F1324" i="6" l="1"/>
  <c r="G1323" i="6"/>
  <c r="H1323" i="6" s="1"/>
  <c r="G1324" i="6" l="1"/>
  <c r="H1324" i="6" s="1"/>
  <c r="F1325" i="6"/>
  <c r="G1325" i="6" l="1"/>
  <c r="H1325" i="6" s="1"/>
  <c r="F1326" i="6"/>
  <c r="F1327" i="6" l="1"/>
  <c r="G1326" i="6"/>
  <c r="H1326" i="6" s="1"/>
  <c r="G1327" i="6" l="1"/>
  <c r="H1327" i="6" s="1"/>
  <c r="F1328" i="6"/>
  <c r="G1328" i="6" l="1"/>
  <c r="H1328" i="6" s="1"/>
  <c r="F1329" i="6"/>
  <c r="F1330" i="6" l="1"/>
  <c r="G1329" i="6"/>
  <c r="H1329" i="6" s="1"/>
  <c r="G1330" i="6" l="1"/>
  <c r="H1330" i="6" s="1"/>
  <c r="F1331" i="6"/>
  <c r="G1331" i="6" l="1"/>
  <c r="H1331" i="6" s="1"/>
  <c r="F1332" i="6"/>
  <c r="F1333" i="6" l="1"/>
  <c r="G1332" i="6"/>
  <c r="H1332" i="6" s="1"/>
  <c r="G1333" i="6" l="1"/>
  <c r="H1333" i="6" s="1"/>
  <c r="F1334" i="6"/>
  <c r="G1334" i="6" l="1"/>
  <c r="H1334" i="6" s="1"/>
  <c r="F1335" i="6"/>
  <c r="G1335" i="6" l="1"/>
  <c r="H1335" i="6" s="1"/>
  <c r="F1336" i="6"/>
  <c r="G1336" i="6" l="1"/>
  <c r="H1336" i="6" s="1"/>
  <c r="F1337" i="6"/>
  <c r="F1338" i="6" l="1"/>
  <c r="G1337" i="6"/>
  <c r="H1337" i="6" s="1"/>
  <c r="G1338" i="6" l="1"/>
  <c r="H1338" i="6" s="1"/>
  <c r="F1339" i="6"/>
  <c r="G1339" i="6" l="1"/>
  <c r="H1339" i="6" s="1"/>
  <c r="F1340" i="6"/>
  <c r="F1341" i="6" l="1"/>
  <c r="G1340" i="6"/>
  <c r="H1340" i="6" s="1"/>
  <c r="G1341" i="6" l="1"/>
  <c r="H1341" i="6" s="1"/>
  <c r="F1342" i="6"/>
  <c r="G1342" i="6" l="1"/>
  <c r="H1342" i="6" s="1"/>
  <c r="F1343" i="6"/>
  <c r="G1343" i="6" l="1"/>
  <c r="H1343" i="6" s="1"/>
  <c r="F1344" i="6"/>
  <c r="F1345" i="6" l="1"/>
  <c r="G1344" i="6"/>
  <c r="H1344" i="6" s="1"/>
  <c r="F1346" i="6" l="1"/>
  <c r="G1345" i="6"/>
  <c r="H1345" i="6" s="1"/>
  <c r="F1347" i="6" l="1"/>
  <c r="G1346" i="6"/>
  <c r="H1346" i="6" s="1"/>
  <c r="G1347" i="6" l="1"/>
  <c r="H1347" i="6" s="1"/>
  <c r="F1348" i="6"/>
  <c r="G1348" i="6" l="1"/>
  <c r="H1348" i="6" s="1"/>
  <c r="F1349" i="6"/>
  <c r="G1349" i="6" l="1"/>
  <c r="H1349" i="6" s="1"/>
  <c r="F1350" i="6"/>
  <c r="G1350" i="6" l="1"/>
  <c r="H1350" i="6" s="1"/>
  <c r="F1351" i="6"/>
  <c r="G1351" i="6" l="1"/>
  <c r="H1351" i="6" s="1"/>
  <c r="F1352" i="6"/>
  <c r="G1352" i="6" l="1"/>
  <c r="H1352" i="6" s="1"/>
  <c r="F1353" i="6"/>
  <c r="F1354" i="6" l="1"/>
  <c r="G1353" i="6"/>
  <c r="H1353" i="6" s="1"/>
  <c r="G1354" i="6" l="1"/>
  <c r="H1354" i="6" s="1"/>
  <c r="F1355" i="6"/>
  <c r="G1355" i="6" l="1"/>
  <c r="H1355" i="6" s="1"/>
  <c r="F1356" i="6"/>
  <c r="F1357" i="6" l="1"/>
  <c r="G1356" i="6"/>
  <c r="H1356" i="6" s="1"/>
  <c r="G1357" i="6" l="1"/>
  <c r="H1357" i="6" s="1"/>
  <c r="F1358" i="6"/>
  <c r="F1359" i="6" l="1"/>
  <c r="G1358" i="6"/>
  <c r="H1358" i="6" s="1"/>
  <c r="G1359" i="6" l="1"/>
  <c r="H1359" i="6" s="1"/>
  <c r="F1360" i="6"/>
  <c r="F1361" i="6" l="1"/>
  <c r="G1360" i="6"/>
  <c r="H1360" i="6" s="1"/>
  <c r="F1362" i="6" l="1"/>
  <c r="G1361" i="6"/>
  <c r="H1361" i="6" s="1"/>
  <c r="G1362" i="6" l="1"/>
  <c r="H1362" i="6" s="1"/>
  <c r="F1363" i="6"/>
  <c r="G1363" i="6" l="1"/>
  <c r="H1363" i="6" s="1"/>
  <c r="F1364" i="6"/>
  <c r="F1365" i="6" l="1"/>
  <c r="G1364" i="6"/>
  <c r="H1364" i="6" s="1"/>
  <c r="F1366" i="6" l="1"/>
  <c r="G1365" i="6"/>
  <c r="H1365" i="6" s="1"/>
  <c r="G1366" i="6" l="1"/>
  <c r="H1366" i="6" s="1"/>
  <c r="F1367" i="6"/>
  <c r="G1367" i="6" l="1"/>
  <c r="H1367" i="6" s="1"/>
  <c r="F1368" i="6"/>
  <c r="F1369" i="6" l="1"/>
  <c r="G1368" i="6"/>
  <c r="H1368" i="6" s="1"/>
  <c r="F1370" i="6" l="1"/>
  <c r="G1369" i="6"/>
  <c r="H1369" i="6" s="1"/>
  <c r="F1371" i="6" l="1"/>
  <c r="G1370" i="6"/>
  <c r="H1370" i="6" s="1"/>
  <c r="G1371" i="6" l="1"/>
  <c r="H1371" i="6" s="1"/>
  <c r="F1372" i="6"/>
  <c r="F1373" i="6" l="1"/>
  <c r="G1372" i="6"/>
  <c r="H1372" i="6" s="1"/>
  <c r="G1373" i="6" l="1"/>
  <c r="H1373" i="6" s="1"/>
  <c r="F1374" i="6"/>
  <c r="G1374" i="6" l="1"/>
  <c r="H1374" i="6" s="1"/>
  <c r="F1375" i="6"/>
  <c r="G1375" i="6" l="1"/>
  <c r="H1375" i="6" s="1"/>
  <c r="F1376" i="6"/>
  <c r="F1377" i="6" l="1"/>
  <c r="G1376" i="6"/>
  <c r="H1376" i="6" s="1"/>
  <c r="F1378" i="6" l="1"/>
  <c r="G1377" i="6"/>
  <c r="H1377" i="6" s="1"/>
  <c r="F1379" i="6" l="1"/>
  <c r="G1378" i="6"/>
  <c r="H1378" i="6" s="1"/>
  <c r="F1380" i="6" l="1"/>
  <c r="G1379" i="6"/>
  <c r="H1379" i="6" s="1"/>
  <c r="F1381" i="6" l="1"/>
  <c r="G1380" i="6"/>
  <c r="H1380" i="6" s="1"/>
  <c r="F1382" i="6" l="1"/>
  <c r="G1381" i="6"/>
  <c r="H1381" i="6" s="1"/>
  <c r="G1382" i="6" l="1"/>
  <c r="H1382" i="6" s="1"/>
  <c r="F1383" i="6"/>
  <c r="G1383" i="6" l="1"/>
  <c r="H1383" i="6" s="1"/>
  <c r="F1384" i="6"/>
  <c r="F1385" i="6" l="1"/>
  <c r="G1384" i="6"/>
  <c r="H1384" i="6" s="1"/>
  <c r="F1386" i="6" l="1"/>
  <c r="G1385" i="6"/>
  <c r="H1385" i="6" s="1"/>
  <c r="F1387" i="6" l="1"/>
  <c r="G1386" i="6"/>
  <c r="H1386" i="6" s="1"/>
  <c r="F1388" i="6" l="1"/>
  <c r="G1387" i="6"/>
  <c r="H1387" i="6" s="1"/>
  <c r="F1389" i="6" l="1"/>
  <c r="G1388" i="6"/>
  <c r="H1388" i="6" s="1"/>
  <c r="F1390" i="6" l="1"/>
  <c r="G1389" i="6"/>
  <c r="H1389" i="6" s="1"/>
  <c r="F1391" i="6" l="1"/>
  <c r="G1390" i="6"/>
  <c r="H1390" i="6" s="1"/>
  <c r="G1391" i="6" l="1"/>
  <c r="H1391" i="6" s="1"/>
  <c r="F1392" i="6"/>
  <c r="G1392" i="6" l="1"/>
  <c r="H1392" i="6" s="1"/>
  <c r="F1393" i="6"/>
  <c r="G1393" i="6" l="1"/>
  <c r="H1393" i="6" s="1"/>
  <c r="F1394" i="6"/>
  <c r="G1394" i="6" l="1"/>
  <c r="H1394" i="6" s="1"/>
  <c r="F1395" i="6"/>
  <c r="F1396" i="6" l="1"/>
  <c r="G1395" i="6"/>
  <c r="H1395" i="6" s="1"/>
  <c r="G1396" i="6" l="1"/>
  <c r="H1396" i="6" s="1"/>
  <c r="F1397" i="6"/>
  <c r="G1397" i="6" l="1"/>
  <c r="H1397" i="6" s="1"/>
  <c r="F1398" i="6"/>
  <c r="F1399" i="6" l="1"/>
  <c r="G1398" i="6"/>
  <c r="H1398" i="6" s="1"/>
  <c r="G1399" i="6" l="1"/>
  <c r="H1399" i="6" s="1"/>
  <c r="F1400" i="6"/>
  <c r="F1401" i="6" l="1"/>
  <c r="G1400" i="6"/>
  <c r="H1400" i="6" s="1"/>
  <c r="G1401" i="6" l="1"/>
  <c r="H1401" i="6" s="1"/>
  <c r="F1402" i="6"/>
  <c r="F1403" i="6" l="1"/>
  <c r="G1402" i="6"/>
  <c r="H1402" i="6" s="1"/>
  <c r="F1404" i="6" l="1"/>
  <c r="G1403" i="6"/>
  <c r="H1403" i="6" s="1"/>
  <c r="G1404" i="6" l="1"/>
  <c r="H1404" i="6" s="1"/>
  <c r="F1405" i="6"/>
  <c r="G1405" i="6" l="1"/>
  <c r="H1405" i="6" s="1"/>
  <c r="F1406" i="6"/>
  <c r="F1407" i="6" l="1"/>
  <c r="G1406" i="6"/>
  <c r="H1406" i="6" s="1"/>
  <c r="F1408" i="6" l="1"/>
  <c r="G1407" i="6"/>
  <c r="H1407" i="6" s="1"/>
  <c r="G1408" i="6" l="1"/>
  <c r="H1408" i="6" s="1"/>
  <c r="F1409" i="6"/>
  <c r="F1410" i="6" l="1"/>
  <c r="G1409" i="6"/>
  <c r="H1409" i="6" s="1"/>
  <c r="F1411" i="6" l="1"/>
  <c r="G1410" i="6"/>
  <c r="H1410" i="6" s="1"/>
  <c r="G1411" i="6" l="1"/>
  <c r="H1411" i="6" s="1"/>
  <c r="F1412" i="6"/>
  <c r="G1412" i="6" l="1"/>
  <c r="H1412" i="6" s="1"/>
  <c r="F1413" i="6"/>
  <c r="G1413" i="6" l="1"/>
  <c r="H1413" i="6" s="1"/>
  <c r="F1414" i="6"/>
  <c r="F1415" i="6" l="1"/>
  <c r="G1414" i="6"/>
  <c r="H1414" i="6" s="1"/>
  <c r="G1415" i="6" l="1"/>
  <c r="H1415" i="6" s="1"/>
  <c r="F1416" i="6"/>
  <c r="F1417" i="6" l="1"/>
  <c r="G1416" i="6"/>
  <c r="H1416" i="6" s="1"/>
  <c r="F1418" i="6" l="1"/>
  <c r="G1417" i="6"/>
  <c r="H1417" i="6" s="1"/>
  <c r="G1418" i="6" l="1"/>
  <c r="H1418" i="6" s="1"/>
  <c r="F1419" i="6"/>
  <c r="G1419" i="6" l="1"/>
  <c r="H1419" i="6" s="1"/>
  <c r="F1420" i="6"/>
  <c r="G1420" i="6" l="1"/>
  <c r="H1420" i="6" s="1"/>
  <c r="F1421" i="6"/>
  <c r="F1422" i="6" l="1"/>
  <c r="G1421" i="6"/>
  <c r="H1421" i="6" s="1"/>
  <c r="F1423" i="6" l="1"/>
  <c r="G1422" i="6"/>
  <c r="H1422" i="6" s="1"/>
  <c r="F1424" i="6" l="1"/>
  <c r="G1423" i="6"/>
  <c r="H1423" i="6" s="1"/>
  <c r="F1425" i="6" l="1"/>
  <c r="G1424" i="6"/>
  <c r="H1424" i="6" s="1"/>
  <c r="G1425" i="6" l="1"/>
  <c r="H1425" i="6" s="1"/>
  <c r="F1426" i="6"/>
  <c r="F1427" i="6" l="1"/>
  <c r="G1426" i="6"/>
  <c r="H1426" i="6" s="1"/>
  <c r="G1427" i="6" l="1"/>
  <c r="H1427" i="6" s="1"/>
  <c r="F1428" i="6"/>
  <c r="G1428" i="6" l="1"/>
  <c r="H1428" i="6" s="1"/>
  <c r="F1429" i="6"/>
  <c r="F1430" i="6" l="1"/>
  <c r="G1429" i="6"/>
  <c r="H1429" i="6" s="1"/>
  <c r="F1431" i="6" l="1"/>
  <c r="G1430" i="6"/>
  <c r="H1430" i="6" s="1"/>
  <c r="F1432" i="6" l="1"/>
  <c r="G1431" i="6"/>
  <c r="H1431" i="6" s="1"/>
  <c r="F1433" i="6" l="1"/>
  <c r="G1432" i="6"/>
  <c r="H1432" i="6" s="1"/>
  <c r="G1433" i="6" l="1"/>
  <c r="H1433" i="6" s="1"/>
  <c r="F1434" i="6"/>
  <c r="G1434" i="6" l="1"/>
  <c r="H1434" i="6" s="1"/>
  <c r="F1435" i="6"/>
  <c r="F1436" i="6" l="1"/>
  <c r="G1435" i="6"/>
  <c r="H1435" i="6" s="1"/>
  <c r="G1436" i="6" l="1"/>
  <c r="H1436" i="6" s="1"/>
  <c r="F1437" i="6"/>
  <c r="F1438" i="6" l="1"/>
  <c r="G1437" i="6"/>
  <c r="H1437" i="6" s="1"/>
  <c r="F1439" i="6" l="1"/>
  <c r="G1438" i="6"/>
  <c r="H1438" i="6" s="1"/>
  <c r="G1439" i="6" l="1"/>
  <c r="H1439" i="6" s="1"/>
  <c r="F1440" i="6"/>
  <c r="G1440" i="6" l="1"/>
  <c r="H1440" i="6" s="1"/>
  <c r="F1441" i="6"/>
  <c r="G1441" i="6" l="1"/>
  <c r="H1441" i="6" s="1"/>
  <c r="F1442" i="6"/>
  <c r="G1442" i="6" l="1"/>
  <c r="H1442" i="6" s="1"/>
  <c r="F1443" i="6"/>
  <c r="G1443" i="6" l="1"/>
  <c r="H1443" i="6" s="1"/>
  <c r="F1444" i="6"/>
  <c r="G1444" i="6" l="1"/>
  <c r="H1444" i="6" s="1"/>
  <c r="F1445" i="6"/>
  <c r="G1445" i="6" l="1"/>
  <c r="H1445" i="6" s="1"/>
  <c r="F1446" i="6"/>
  <c r="F1447" i="6" l="1"/>
  <c r="G1446" i="6"/>
  <c r="H1446" i="6" s="1"/>
  <c r="G1447" i="6" l="1"/>
  <c r="H1447" i="6" s="1"/>
  <c r="F1448" i="6"/>
  <c r="G1448" i="6" l="1"/>
  <c r="H1448" i="6" s="1"/>
  <c r="F1449" i="6"/>
  <c r="G1449" i="6" l="1"/>
  <c r="H1449" i="6" s="1"/>
  <c r="F1450" i="6"/>
  <c r="G1450" i="6" l="1"/>
  <c r="H1450" i="6" s="1"/>
  <c r="F1451" i="6"/>
  <c r="G1451" i="6" l="1"/>
  <c r="H1451" i="6" s="1"/>
  <c r="F1452" i="6"/>
  <c r="G1452" i="6" l="1"/>
  <c r="H1452" i="6" s="1"/>
  <c r="F1453" i="6"/>
  <c r="G1453" i="6" l="1"/>
  <c r="H1453" i="6" s="1"/>
  <c r="F1454" i="6"/>
  <c r="F1455" i="6" l="1"/>
  <c r="G1454" i="6"/>
  <c r="H1454" i="6" s="1"/>
  <c r="G1455" i="6" l="1"/>
  <c r="H1455" i="6" s="1"/>
  <c r="F1456" i="6"/>
  <c r="G1456" i="6" l="1"/>
  <c r="H1456" i="6" s="1"/>
  <c r="F1457" i="6"/>
  <c r="G1457" i="6" l="1"/>
  <c r="H1457" i="6" s="1"/>
  <c r="F1458" i="6"/>
  <c r="F1459" i="6" l="1"/>
  <c r="G1458" i="6"/>
  <c r="H1458" i="6" s="1"/>
  <c r="F1460" i="6" l="1"/>
  <c r="G1459" i="6"/>
  <c r="H1459" i="6" s="1"/>
  <c r="G1460" i="6" l="1"/>
  <c r="H1460" i="6" s="1"/>
  <c r="F1461" i="6"/>
  <c r="G1461" i="6" l="1"/>
  <c r="H1461" i="6" s="1"/>
  <c r="F1462" i="6"/>
  <c r="F1463" i="6" l="1"/>
  <c r="G1462" i="6"/>
  <c r="H1462" i="6" s="1"/>
  <c r="G1463" i="6" l="1"/>
  <c r="H1463" i="6" s="1"/>
  <c r="F1464" i="6"/>
  <c r="G1464" i="6" l="1"/>
  <c r="H1464" i="6" s="1"/>
  <c r="F1465" i="6"/>
  <c r="G1465" i="6" l="1"/>
  <c r="H1465" i="6" s="1"/>
  <c r="F1466" i="6"/>
  <c r="F1467" i="6" l="1"/>
  <c r="G1466" i="6"/>
  <c r="H1466" i="6" s="1"/>
  <c r="G1467" i="6" l="1"/>
  <c r="H1467" i="6" s="1"/>
  <c r="F1468" i="6"/>
  <c r="G1468" i="6" l="1"/>
  <c r="H1468" i="6" s="1"/>
  <c r="F1469" i="6"/>
  <c r="G1469" i="6" l="1"/>
  <c r="H1469" i="6" s="1"/>
  <c r="F1470" i="6"/>
  <c r="F1471" i="6" l="1"/>
  <c r="G1470" i="6"/>
  <c r="H1470" i="6" s="1"/>
  <c r="G1471" i="6" l="1"/>
  <c r="H1471" i="6" s="1"/>
  <c r="F1472" i="6"/>
  <c r="G1472" i="6" l="1"/>
  <c r="H1472" i="6" s="1"/>
  <c r="F1473" i="6"/>
  <c r="F1474" i="6" l="1"/>
  <c r="G1473" i="6"/>
  <c r="H1473" i="6" s="1"/>
  <c r="G1474" i="6" l="1"/>
  <c r="H1474" i="6" s="1"/>
  <c r="F1475" i="6"/>
  <c r="F1476" i="6" l="1"/>
  <c r="G1475" i="6"/>
  <c r="H1475" i="6" s="1"/>
  <c r="G1476" i="6" l="1"/>
  <c r="H1476" i="6" s="1"/>
  <c r="F1477" i="6"/>
  <c r="G1477" i="6" l="1"/>
  <c r="H1477" i="6" s="1"/>
  <c r="F1478" i="6"/>
  <c r="F1479" i="6" l="1"/>
  <c r="G1478" i="6"/>
  <c r="H1478" i="6" s="1"/>
  <c r="F1480" i="6" l="1"/>
  <c r="G1479" i="6"/>
  <c r="H1479" i="6" s="1"/>
  <c r="F1481" i="6" l="1"/>
  <c r="G1480" i="6"/>
  <c r="H1480" i="6" s="1"/>
  <c r="F1482" i="6" l="1"/>
  <c r="G1481" i="6"/>
  <c r="H1481" i="6" s="1"/>
  <c r="G1482" i="6" l="1"/>
  <c r="H1482" i="6" s="1"/>
  <c r="F1483" i="6"/>
  <c r="F1484" i="6" l="1"/>
  <c r="G1483" i="6"/>
  <c r="H1483" i="6" s="1"/>
  <c r="G1484" i="6" l="1"/>
  <c r="H1484" i="6" s="1"/>
  <c r="F1485" i="6"/>
  <c r="G1485" i="6" l="1"/>
  <c r="H1485" i="6" s="1"/>
  <c r="F1486" i="6"/>
  <c r="F1487" i="6" l="1"/>
  <c r="G1486" i="6"/>
  <c r="H1486" i="6" s="1"/>
  <c r="F1488" i="6" l="1"/>
  <c r="G1487" i="6"/>
  <c r="H1487" i="6" s="1"/>
  <c r="G1488" i="6" l="1"/>
  <c r="H1488" i="6" s="1"/>
  <c r="F1489" i="6"/>
  <c r="F1490" i="6" l="1"/>
  <c r="G1489" i="6"/>
  <c r="H1489" i="6" s="1"/>
  <c r="F1491" i="6" l="1"/>
  <c r="G1490" i="6"/>
  <c r="H1490" i="6" s="1"/>
  <c r="G1491" i="6" l="1"/>
  <c r="H1491" i="6" s="1"/>
  <c r="F1492" i="6"/>
  <c r="G1492" i="6" l="1"/>
  <c r="H1492" i="6" s="1"/>
  <c r="F1493" i="6"/>
  <c r="F1494" i="6" l="1"/>
  <c r="G1493" i="6"/>
  <c r="H1493" i="6" s="1"/>
  <c r="F1495" i="6" l="1"/>
  <c r="G1494" i="6"/>
  <c r="H1494" i="6" s="1"/>
  <c r="G1495" i="6" l="1"/>
  <c r="H1495" i="6" s="1"/>
  <c r="F1496" i="6"/>
  <c r="F1497" i="6" l="1"/>
  <c r="G1496" i="6"/>
  <c r="H1496" i="6" s="1"/>
  <c r="G1497" i="6" l="1"/>
  <c r="H1497" i="6" s="1"/>
  <c r="F1498" i="6"/>
  <c r="G1498" i="6" l="1"/>
  <c r="H1498" i="6" s="1"/>
  <c r="F1499" i="6"/>
  <c r="F1500" i="6" l="1"/>
  <c r="G1500" i="6" s="1"/>
  <c r="H1500" i="6" s="1"/>
  <c r="G1499" i="6"/>
  <c r="H1499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<sst xmlns="http://schemas.openxmlformats.org/spreadsheetml/2006/main" count="85" uniqueCount="54">
  <si>
    <t>Omega (W)</t>
  </si>
  <si>
    <t>Gain</t>
  </si>
  <si>
    <t xml:space="preserve"> </t>
  </si>
  <si>
    <t>Asymptotique</t>
  </si>
  <si>
    <t>Phase</t>
  </si>
  <si>
    <t>W1</t>
  </si>
  <si>
    <t>W2</t>
  </si>
  <si>
    <t>Gain G</t>
  </si>
  <si>
    <t>G1</t>
  </si>
  <si>
    <t>G2</t>
  </si>
  <si>
    <t>Asymptotique 1</t>
  </si>
  <si>
    <t>Asymptotique 2</t>
  </si>
  <si>
    <t>Asymptotique 3</t>
  </si>
  <si>
    <t>Phase 2</t>
  </si>
  <si>
    <t>Phase 1</t>
  </si>
  <si>
    <t>Phase 3</t>
  </si>
  <si>
    <t>Xn</t>
  </si>
  <si>
    <t>a</t>
  </si>
  <si>
    <t>b</t>
  </si>
  <si>
    <t>Y(0)</t>
  </si>
  <si>
    <t>pas(h)</t>
  </si>
  <si>
    <t>Yn</t>
  </si>
  <si>
    <t>Exact</t>
  </si>
  <si>
    <t>c</t>
  </si>
  <si>
    <t>Mois</t>
  </si>
  <si>
    <t>CA</t>
  </si>
  <si>
    <t>Février</t>
  </si>
  <si>
    <t>Janvier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</si>
  <si>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</si>
  <si>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</si>
  <si>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</si>
  <si>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</si>
  <si>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</si>
  <si>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</si>
  <si>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</si>
  <si>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</si>
  <si>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</si>
  <si>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</si>
  <si>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%</t>
  </si>
  <si>
    <t>Total</t>
  </si>
  <si>
    <t xml:space="preserve">Rang </t>
  </si>
  <si>
    <t>CA cumulé</t>
  </si>
  <si>
    <t xml:space="preserve">CA </t>
  </si>
  <si>
    <t>Etape 0</t>
  </si>
  <si>
    <t>X1</t>
  </si>
  <si>
    <t>X2</t>
  </si>
  <si>
    <t>X3</t>
  </si>
  <si>
    <t>Y</t>
  </si>
  <si>
    <t>L1</t>
  </si>
  <si>
    <t>L2</t>
  </si>
  <si>
    <t>L3</t>
  </si>
  <si>
    <t>Etape 1</t>
  </si>
  <si>
    <t>Etape 2</t>
  </si>
  <si>
    <t>Nb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</si>
</sst>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/>
    <xf numFmtId="0" fontId="0" fillId="4" borderId="1" xfId="0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0" fontId="0" fillId="9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1" xfId="0" applyFill="1" applyBorder="1" applyAlignment="1"/>
    <xf numFmtId="0" fontId="0" fillId="19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strike val="0"/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99"/>
      <color rgb="FFFFCCFF"/>
      <color rgb="FFFFFFCC"/>
      <color rgb="FFCCECFF"/>
      <color rgb="FFCCFFCC"/>
      <color rgb="FF99CCFF"/>
      <color rgb="FF66FFFF"/>
      <color rgb="FFCCFFFF"/>
      <color rgb="FFFFCCCC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Gain en dB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'Part-1'!$B$5:$B$67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'Part-1'!$C$5:$C$67</c:f>
              <c:numCache>
                <c:formatCode>0.0</c:formatCode>
                <c:ptCount val="63"/>
                <c:pt idx="0">
                  <c:v>-40</c:v>
                </c:pt>
                <c:pt idx="1">
                  <c:v>-33.979400086720375</c:v>
                </c:pt>
                <c:pt idx="2">
                  <c:v>-30.457574905606752</c:v>
                </c:pt>
                <c:pt idx="3">
                  <c:v>-27.95880017344075</c:v>
                </c:pt>
                <c:pt idx="4">
                  <c:v>-26.020599913279625</c:v>
                </c:pt>
                <c:pt idx="5">
                  <c:v>-24.436974992327126</c:v>
                </c:pt>
                <c:pt idx="6">
                  <c:v>-23.098039199714865</c:v>
                </c:pt>
                <c:pt idx="7">
                  <c:v>-21.938200260161128</c:v>
                </c:pt>
                <c:pt idx="8">
                  <c:v>-20.915149811213503</c:v>
                </c:pt>
                <c:pt idx="9">
                  <c:v>-20</c:v>
                </c:pt>
                <c:pt idx="10">
                  <c:v>-13.979400086720375</c:v>
                </c:pt>
                <c:pt idx="11">
                  <c:v>-10.457574905606752</c:v>
                </c:pt>
                <c:pt idx="12">
                  <c:v>-7.958800173440757</c:v>
                </c:pt>
                <c:pt idx="13">
                  <c:v>-6.0205999132796251</c:v>
                </c:pt>
                <c:pt idx="14">
                  <c:v>-4.43697499232713</c:v>
                </c:pt>
                <c:pt idx="15">
                  <c:v>-3.0980391997148615</c:v>
                </c:pt>
                <c:pt idx="16">
                  <c:v>-1.9382002601611319</c:v>
                </c:pt>
                <c:pt idx="17">
                  <c:v>-0.91514981121350303</c:v>
                </c:pt>
                <c:pt idx="18">
                  <c:v>0</c:v>
                </c:pt>
                <c:pt idx="19">
                  <c:v>6.0205999132796251</c:v>
                </c:pt>
                <c:pt idx="20">
                  <c:v>9.542425094393252</c:v>
                </c:pt>
                <c:pt idx="21">
                  <c:v>12.04119982655925</c:v>
                </c:pt>
                <c:pt idx="22">
                  <c:v>13.979400086720375</c:v>
                </c:pt>
                <c:pt idx="23">
                  <c:v>15.56302500767287</c:v>
                </c:pt>
                <c:pt idx="24">
                  <c:v>16.901960800285138</c:v>
                </c:pt>
                <c:pt idx="25">
                  <c:v>18.061799739838875</c:v>
                </c:pt>
                <c:pt idx="26">
                  <c:v>19.084850188786497</c:v>
                </c:pt>
                <c:pt idx="27">
                  <c:v>20</c:v>
                </c:pt>
                <c:pt idx="28">
                  <c:v>26.020599913279625</c:v>
                </c:pt>
                <c:pt idx="29">
                  <c:v>29.542425094393252</c:v>
                </c:pt>
                <c:pt idx="30">
                  <c:v>32.04119982655925</c:v>
                </c:pt>
                <c:pt idx="31">
                  <c:v>33.979400086720375</c:v>
                </c:pt>
                <c:pt idx="32">
                  <c:v>35.563025007672863</c:v>
                </c:pt>
                <c:pt idx="33">
                  <c:v>36.901960800285138</c:v>
                </c:pt>
                <c:pt idx="34">
                  <c:v>38.061799739838875</c:v>
                </c:pt>
                <c:pt idx="35">
                  <c:v>39.08485018878649</c:v>
                </c:pt>
                <c:pt idx="36">
                  <c:v>40</c:v>
                </c:pt>
                <c:pt idx="37">
                  <c:v>46.020599913279625</c:v>
                </c:pt>
                <c:pt idx="38">
                  <c:v>49.542425094393252</c:v>
                </c:pt>
                <c:pt idx="39">
                  <c:v>52.04119982655925</c:v>
                </c:pt>
                <c:pt idx="40">
                  <c:v>53.979400086720375</c:v>
                </c:pt>
                <c:pt idx="41">
                  <c:v>55.563025007672877</c:v>
                </c:pt>
                <c:pt idx="42">
                  <c:v>56.901960800285138</c:v>
                </c:pt>
                <c:pt idx="43">
                  <c:v>58.061799739838875</c:v>
                </c:pt>
                <c:pt idx="44">
                  <c:v>59.084850188786504</c:v>
                </c:pt>
                <c:pt idx="45">
                  <c:v>60</c:v>
                </c:pt>
                <c:pt idx="46">
                  <c:v>66.020599913279625</c:v>
                </c:pt>
                <c:pt idx="47">
                  <c:v>69.542425094393252</c:v>
                </c:pt>
                <c:pt idx="48">
                  <c:v>72.04119982655925</c:v>
                </c:pt>
                <c:pt idx="49">
                  <c:v>73.979400086720375</c:v>
                </c:pt>
                <c:pt idx="50">
                  <c:v>75.563025007672877</c:v>
                </c:pt>
                <c:pt idx="51">
                  <c:v>76.901960800285138</c:v>
                </c:pt>
                <c:pt idx="52">
                  <c:v>78.061799739838875</c:v>
                </c:pt>
                <c:pt idx="53">
                  <c:v>79.084850188786504</c:v>
                </c:pt>
                <c:pt idx="54">
                  <c:v>80</c:v>
                </c:pt>
                <c:pt idx="55">
                  <c:v>86.020599913279625</c:v>
                </c:pt>
                <c:pt idx="56">
                  <c:v>89.542425094393252</c:v>
                </c:pt>
                <c:pt idx="57">
                  <c:v>92.04119982655925</c:v>
                </c:pt>
                <c:pt idx="58">
                  <c:v>93.979400086720375</c:v>
                </c:pt>
                <c:pt idx="59">
                  <c:v>95.563025007672877</c:v>
                </c:pt>
                <c:pt idx="60">
                  <c:v>96.901960800285138</c:v>
                </c:pt>
                <c:pt idx="61">
                  <c:v>98.061799739838875</c:v>
                </c:pt>
                <c:pt idx="62">
                  <c:v>99.084850188786504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6F-4DA5-B239-C37DA610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285583"/>
        <c:axId val="581276015"/>
      </c:scatterChart>
      <c:valAx>
        <c:axId val="58128558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28575" cap="flat" cmpd="sng" algn="ctr">
            <a:solidFill>
              <a:schemeClr val="accent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1276015"/>
        <c:crosses val="autoZero"/>
        <c:crossBetween val="midCat"/>
      </c:valAx>
      <c:valAx>
        <c:axId val="5812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accent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1285583"/>
        <c:crosses val="autoZero"/>
        <c:crossBetween val="midCat"/>
      </c:valAx>
      <c:spPr>
        <a:noFill/>
        <a:ln>
          <a:solidFill>
            <a:schemeClr val="accent2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Gain en dB</a:t>
            </a:r>
          </a:p>
        </c:rich>
      </c:tx>
      <c:layout>
        <c:manualLayout>
          <c:xMode val="edge"/>
          <c:yMode val="edge"/>
          <c:x val="0.44999997674709535"/>
          <c:y val="0.12951716612361241"/>
        </c:manualLayout>
      </c:layout>
      <c:overlay val="0"/>
      <c:spPr>
        <a:solidFill>
          <a:schemeClr val="bg1"/>
        </a:solidFill>
        <a:ln>
          <a:solidFill>
            <a:schemeClr val="accent4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'Part-2'!$C$4</c:f>
              <c:strCache>
                <c:ptCount val="1"/>
                <c:pt idx="0">
                  <c:v>Gain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'Part-2'!$B$5:$B$67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'Part-2'!$C$5:$C$67</c:f>
              <c:numCache>
                <c:formatCode>0.0</c:formatCode>
                <c:ptCount val="63"/>
                <c:pt idx="0">
                  <c:v>4.3427276862664858E-4</c:v>
                </c:pt>
                <c:pt idx="1">
                  <c:v>1.7368305846489969E-3</c:v>
                </c:pt>
                <c:pt idx="2">
                  <c:v>3.9068924991008799E-3</c:v>
                </c:pt>
                <c:pt idx="3">
                  <c:v>6.9431586635448073E-3</c:v>
                </c:pt>
                <c:pt idx="4">
                  <c:v>1.084381292219893E-2</c:v>
                </c:pt>
                <c:pt idx="5">
                  <c:v>1.5606526425729409E-2</c:v>
                </c:pt>
                <c:pt idx="6">
                  <c:v>2.122846225161637E-2</c:v>
                </c:pt>
                <c:pt idx="7">
                  <c:v>2.7706281011936895E-2</c:v>
                </c:pt>
                <c:pt idx="8">
                  <c:v>3.503614742536533E-2</c:v>
                </c:pt>
                <c:pt idx="9">
                  <c:v>4.3213737826425784E-2</c:v>
                </c:pt>
                <c:pt idx="10">
                  <c:v>0.1703333929878037</c:v>
                </c:pt>
                <c:pt idx="11">
                  <c:v>0.37426497940623665</c:v>
                </c:pt>
                <c:pt idx="12">
                  <c:v>0.64457989226918533</c:v>
                </c:pt>
                <c:pt idx="13">
                  <c:v>0.96910013008056417</c:v>
                </c:pt>
                <c:pt idx="14">
                  <c:v>1.3353890837021747</c:v>
                </c:pt>
                <c:pt idx="15">
                  <c:v>1.7318626841227402</c:v>
                </c:pt>
                <c:pt idx="16">
                  <c:v>2.1484384804769792</c:v>
                </c:pt>
                <c:pt idx="17">
                  <c:v>2.5767857486918451</c:v>
                </c:pt>
                <c:pt idx="18">
                  <c:v>3.0102999566398121</c:v>
                </c:pt>
                <c:pt idx="19">
                  <c:v>6.9897000433601884</c:v>
                </c:pt>
                <c:pt idx="20">
                  <c:v>10</c:v>
                </c:pt>
                <c:pt idx="21">
                  <c:v>12.304489213782739</c:v>
                </c:pt>
                <c:pt idx="22">
                  <c:v>14.14973347970818</c:v>
                </c:pt>
                <c:pt idx="23">
                  <c:v>15.68201724066995</c:v>
                </c:pt>
                <c:pt idx="24">
                  <c:v>16.989700043360187</c:v>
                </c:pt>
                <c:pt idx="25">
                  <c:v>18.129133566428553</c:v>
                </c:pt>
                <c:pt idx="26">
                  <c:v>19.138138523837167</c:v>
                </c:pt>
                <c:pt idx="27">
                  <c:v>20.043213737826427</c:v>
                </c:pt>
                <c:pt idx="28">
                  <c:v>26.031443726201822</c:v>
                </c:pt>
                <c:pt idx="29">
                  <c:v>29.547247909790627</c:v>
                </c:pt>
                <c:pt idx="30">
                  <c:v>32.043913319192995</c:v>
                </c:pt>
                <c:pt idx="31">
                  <c:v>33.981136917305022</c:v>
                </c:pt>
                <c:pt idx="32">
                  <c:v>35.564231213712851</c:v>
                </c:pt>
                <c:pt idx="33">
                  <c:v>36.902847025126292</c:v>
                </c:pt>
                <c:pt idx="34">
                  <c:v>38.062478271957907</c:v>
                </c:pt>
                <c:pt idx="35">
                  <c:v>39.085386321719596</c:v>
                </c:pt>
                <c:pt idx="36">
                  <c:v>40.000434272768629</c:v>
                </c:pt>
                <c:pt idx="37">
                  <c:v>46.020708485542954</c:v>
                </c:pt>
                <c:pt idx="38">
                  <c:v>49.542473349067599</c:v>
                </c:pt>
                <c:pt idx="39">
                  <c:v>52.041226969879546</c:v>
                </c:pt>
                <c:pt idx="40">
                  <c:v>53.979417458464908</c:v>
                </c:pt>
                <c:pt idx="41">
                  <c:v>55.563037071391726</c:v>
                </c:pt>
                <c:pt idx="42">
                  <c:v>56.901969663428787</c:v>
                </c:pt>
                <c:pt idx="43">
                  <c:v>58.061806525684851</c:v>
                </c:pt>
                <c:pt idx="44">
                  <c:v>59.084855550443464</c:v>
                </c:pt>
                <c:pt idx="45">
                  <c:v>60.000004342942646</c:v>
                </c:pt>
                <c:pt idx="46">
                  <c:v>66.020600999015699</c:v>
                </c:pt>
                <c:pt idx="47">
                  <c:v>69.542425576942648</c:v>
                </c:pt>
                <c:pt idx="48">
                  <c:v>72.041200097993283</c:v>
                </c:pt>
                <c:pt idx="49">
                  <c:v>73.979400260438155</c:v>
                </c:pt>
                <c:pt idx="50">
                  <c:v>75.56302512831023</c:v>
                </c:pt>
                <c:pt idx="51">
                  <c:v>76.901960888916662</c:v>
                </c:pt>
                <c:pt idx="52">
                  <c:v>78.061799807697383</c:v>
                </c:pt>
                <c:pt idx="53">
                  <c:v>79.084850242403093</c:v>
                </c:pt>
                <c:pt idx="54">
                  <c:v>80.000000043429452</c:v>
                </c:pt>
                <c:pt idx="55">
                  <c:v>86.020599924136988</c:v>
                </c:pt>
                <c:pt idx="56">
                  <c:v>89.542425099218747</c:v>
                </c:pt>
                <c:pt idx="57">
                  <c:v>92.041199829273594</c:v>
                </c:pt>
                <c:pt idx="58">
                  <c:v>93.979400088457538</c:v>
                </c:pt>
                <c:pt idx="59">
                  <c:v>95.563025008879251</c:v>
                </c:pt>
                <c:pt idx="60">
                  <c:v>96.901960801171455</c:v>
                </c:pt>
                <c:pt idx="61">
                  <c:v>98.061799740517458</c:v>
                </c:pt>
                <c:pt idx="62">
                  <c:v>99.084850189322665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FE-4F2F-8354-21B7222F1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068799"/>
        <c:axId val="1281054655"/>
      </c:scatterChart>
      <c:valAx>
        <c:axId val="128106879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accent4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1054655"/>
        <c:crosses val="autoZero"/>
        <c:crossBetween val="midCat"/>
      </c:valAx>
      <c:valAx>
        <c:axId val="128105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accent4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106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243163060258207"/>
          <c:y val="0.11487991136786294"/>
        </c:manualLayout>
      </c:layout>
      <c:overlay val="0"/>
      <c:spPr>
        <a:solidFill>
          <a:schemeClr val="bg1"/>
        </a:solidFill>
        <a:ln w="12700"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'Part-2'!$F$4</c:f>
              <c:strCache>
                <c:ptCount val="1"/>
                <c:pt idx="0">
                  <c:v>Asymptotique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'Part-2'!$E$5:$E$67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'Part-2'!$F$5:$F$67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6.0205999132796251</c:v>
                </c:pt>
                <c:pt idx="20">
                  <c:v>9.542425094393252</c:v>
                </c:pt>
                <c:pt idx="21">
                  <c:v>12.04119982655925</c:v>
                </c:pt>
                <c:pt idx="22">
                  <c:v>13.979400086720375</c:v>
                </c:pt>
                <c:pt idx="23">
                  <c:v>15.56302500767287</c:v>
                </c:pt>
                <c:pt idx="24">
                  <c:v>16.901960800285138</c:v>
                </c:pt>
                <c:pt idx="25">
                  <c:v>18.061799739838875</c:v>
                </c:pt>
                <c:pt idx="26">
                  <c:v>19.084850188786497</c:v>
                </c:pt>
                <c:pt idx="27">
                  <c:v>20</c:v>
                </c:pt>
                <c:pt idx="28">
                  <c:v>26.020599913279625</c:v>
                </c:pt>
                <c:pt idx="29">
                  <c:v>29.542425094393252</c:v>
                </c:pt>
                <c:pt idx="30">
                  <c:v>32.04119982655925</c:v>
                </c:pt>
                <c:pt idx="31">
                  <c:v>33.979400086720375</c:v>
                </c:pt>
                <c:pt idx="32">
                  <c:v>35.563025007672863</c:v>
                </c:pt>
                <c:pt idx="33">
                  <c:v>36.901960800285138</c:v>
                </c:pt>
                <c:pt idx="34">
                  <c:v>38.061799739838875</c:v>
                </c:pt>
                <c:pt idx="35">
                  <c:v>39.08485018878649</c:v>
                </c:pt>
                <c:pt idx="36">
                  <c:v>40</c:v>
                </c:pt>
                <c:pt idx="37">
                  <c:v>46.020599913279625</c:v>
                </c:pt>
                <c:pt idx="38">
                  <c:v>49.542425094393252</c:v>
                </c:pt>
                <c:pt idx="39">
                  <c:v>52.04119982655925</c:v>
                </c:pt>
                <c:pt idx="40">
                  <c:v>53.979400086720375</c:v>
                </c:pt>
                <c:pt idx="41">
                  <c:v>55.563025007672877</c:v>
                </c:pt>
                <c:pt idx="42">
                  <c:v>56.901960800285138</c:v>
                </c:pt>
                <c:pt idx="43">
                  <c:v>58.061799739838875</c:v>
                </c:pt>
                <c:pt idx="44">
                  <c:v>59.084850188786504</c:v>
                </c:pt>
                <c:pt idx="45">
                  <c:v>60</c:v>
                </c:pt>
                <c:pt idx="46">
                  <c:v>66.020599913279625</c:v>
                </c:pt>
                <c:pt idx="47">
                  <c:v>69.542425094393252</c:v>
                </c:pt>
                <c:pt idx="48">
                  <c:v>72.04119982655925</c:v>
                </c:pt>
                <c:pt idx="49">
                  <c:v>73.979400086720375</c:v>
                </c:pt>
                <c:pt idx="50">
                  <c:v>75.563025007672877</c:v>
                </c:pt>
                <c:pt idx="51">
                  <c:v>76.901960800285138</c:v>
                </c:pt>
                <c:pt idx="52">
                  <c:v>78.061799739838875</c:v>
                </c:pt>
                <c:pt idx="53">
                  <c:v>79.084850188786504</c:v>
                </c:pt>
                <c:pt idx="54">
                  <c:v>80</c:v>
                </c:pt>
                <c:pt idx="55">
                  <c:v>86.020599913279625</c:v>
                </c:pt>
                <c:pt idx="56">
                  <c:v>89.542425094393252</c:v>
                </c:pt>
                <c:pt idx="57">
                  <c:v>92.04119982655925</c:v>
                </c:pt>
                <c:pt idx="58">
                  <c:v>93.979400086720375</c:v>
                </c:pt>
                <c:pt idx="59">
                  <c:v>95.563025007672877</c:v>
                </c:pt>
                <c:pt idx="60">
                  <c:v>96.901960800285138</c:v>
                </c:pt>
                <c:pt idx="61">
                  <c:v>98.061799739838875</c:v>
                </c:pt>
                <c:pt idx="62">
                  <c:v>99.084850188786504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1-4E7E-BB28-F6A27B26A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385839"/>
        <c:axId val="1325387503"/>
      </c:scatterChart>
      <c:valAx>
        <c:axId val="13253858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accent1">
                <a:alpha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5387503"/>
        <c:crosses val="autoZero"/>
        <c:crossBetween val="midCat"/>
      </c:valAx>
      <c:valAx>
        <c:axId val="132538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5385839"/>
        <c:crosses val="autoZero"/>
        <c:crossBetween val="midCat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'Part-3'!$C$4</c:f>
              <c:strCache>
                <c:ptCount val="1"/>
                <c:pt idx="0">
                  <c:v>Phase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'Part-3'!$B$5:$B$67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'Part-3'!$C$5:$C$67</c:f>
              <c:numCache>
                <c:formatCode>0.0</c:formatCode>
                <c:ptCount val="63"/>
                <c:pt idx="0">
                  <c:v>9.9996666866652376E-3</c:v>
                </c:pt>
                <c:pt idx="1">
                  <c:v>1.9997333973150535E-2</c:v>
                </c:pt>
                <c:pt idx="2">
                  <c:v>2.99910048568779E-2</c:v>
                </c:pt>
                <c:pt idx="3">
                  <c:v>3.9978687123290044E-2</c:v>
                </c:pt>
                <c:pt idx="4">
                  <c:v>4.9958395721942765E-2</c:v>
                </c:pt>
                <c:pt idx="5">
                  <c:v>5.9928155121207881E-2</c:v>
                </c:pt>
                <c:pt idx="6">
                  <c:v>6.9886001634642508E-2</c:v>
                </c:pt>
                <c:pt idx="7">
                  <c:v>7.9829985712237317E-2</c:v>
                </c:pt>
                <c:pt idx="8">
                  <c:v>8.9758174189950524E-2</c:v>
                </c:pt>
                <c:pt idx="9">
                  <c:v>9.9668652491162038E-2</c:v>
                </c:pt>
                <c:pt idx="10">
                  <c:v>0.19739555984988078</c:v>
                </c:pt>
                <c:pt idx="11">
                  <c:v>0.2914567944778671</c:v>
                </c:pt>
                <c:pt idx="12">
                  <c:v>0.3805063771123649</c:v>
                </c:pt>
                <c:pt idx="13">
                  <c:v>0.46364760900080609</c:v>
                </c:pt>
                <c:pt idx="14">
                  <c:v>0.54041950027058416</c:v>
                </c:pt>
                <c:pt idx="15">
                  <c:v>0.61072596438920856</c:v>
                </c:pt>
                <c:pt idx="16">
                  <c:v>0.67474094222355274</c:v>
                </c:pt>
                <c:pt idx="17">
                  <c:v>0.73281510178650655</c:v>
                </c:pt>
                <c:pt idx="18">
                  <c:v>0.78539816339744828</c:v>
                </c:pt>
                <c:pt idx="19">
                  <c:v>1.1071487177940904</c:v>
                </c:pt>
                <c:pt idx="20">
                  <c:v>1.2490457723982544</c:v>
                </c:pt>
                <c:pt idx="21">
                  <c:v>1.3258176636680326</c:v>
                </c:pt>
                <c:pt idx="22">
                  <c:v>1.3734007669450159</c:v>
                </c:pt>
                <c:pt idx="23">
                  <c:v>1.4056476493802699</c:v>
                </c:pt>
                <c:pt idx="24">
                  <c:v>1.4288992721907328</c:v>
                </c:pt>
                <c:pt idx="25">
                  <c:v>1.4464413322481351</c:v>
                </c:pt>
                <c:pt idx="26">
                  <c:v>1.4601391056210009</c:v>
                </c:pt>
                <c:pt idx="27">
                  <c:v>1.4711276743037347</c:v>
                </c:pt>
                <c:pt idx="28">
                  <c:v>1.5208379310729538</c:v>
                </c:pt>
                <c:pt idx="29">
                  <c:v>1.5374753309166493</c:v>
                </c:pt>
                <c:pt idx="30">
                  <c:v>1.5458015331759765</c:v>
                </c:pt>
                <c:pt idx="31">
                  <c:v>1.550798992821746</c:v>
                </c:pt>
                <c:pt idx="32">
                  <c:v>1.554131203080956</c:v>
                </c:pt>
                <c:pt idx="33">
                  <c:v>1.5565115842074999</c:v>
                </c:pt>
                <c:pt idx="34">
                  <c:v>1.5582969777755349</c:v>
                </c:pt>
                <c:pt idx="35">
                  <c:v>1.5596856728972892</c:v>
                </c:pt>
                <c:pt idx="36">
                  <c:v>1.5607966601082315</c:v>
                </c:pt>
                <c:pt idx="37">
                  <c:v>1.5657963684609384</c:v>
                </c:pt>
                <c:pt idx="38">
                  <c:v>1.5674630058071599</c:v>
                </c:pt>
                <c:pt idx="39">
                  <c:v>1.5682963320032104</c:v>
                </c:pt>
                <c:pt idx="40">
                  <c:v>1.5687963294615568</c:v>
                </c:pt>
                <c:pt idx="41">
                  <c:v>1.5691296616714372</c:v>
                </c:pt>
                <c:pt idx="42">
                  <c:v>1.5693677563381414</c:v>
                </c:pt>
                <c:pt idx="43">
                  <c:v>1.5695463274459376</c:v>
                </c:pt>
                <c:pt idx="44">
                  <c:v>1.5696852161410326</c:v>
                </c:pt>
                <c:pt idx="45">
                  <c:v>1.5697963271282298</c:v>
                </c:pt>
                <c:pt idx="46">
                  <c:v>1.5702963268365633</c:v>
                </c:pt>
                <c:pt idx="47">
                  <c:v>1.5704629934739089</c:v>
                </c:pt>
                <c:pt idx="48">
                  <c:v>1.570546326800105</c:v>
                </c:pt>
                <c:pt idx="49">
                  <c:v>1.5705963267975633</c:v>
                </c:pt>
                <c:pt idx="50">
                  <c:v>1.5706296601297731</c:v>
                </c:pt>
                <c:pt idx="51">
                  <c:v>1.5706534696530112</c:v>
                </c:pt>
                <c:pt idx="52">
                  <c:v>1.5706713267955477</c:v>
                </c:pt>
                <c:pt idx="53">
                  <c:v>1.5706852156842428</c:v>
                </c:pt>
                <c:pt idx="54">
                  <c:v>1.5706963267952299</c:v>
                </c:pt>
                <c:pt idx="55">
                  <c:v>1.5707463267949382</c:v>
                </c:pt>
                <c:pt idx="56">
                  <c:v>1.5707629934615757</c:v>
                </c:pt>
                <c:pt idx="57">
                  <c:v>1.5707713267949017</c:v>
                </c:pt>
                <c:pt idx="58">
                  <c:v>1.5707763267948993</c:v>
                </c:pt>
                <c:pt idx="59">
                  <c:v>1.5707796601282316</c:v>
                </c:pt>
                <c:pt idx="60">
                  <c:v>1.5707820410806119</c:v>
                </c:pt>
                <c:pt idx="61">
                  <c:v>1.5707838267948973</c:v>
                </c:pt>
                <c:pt idx="62">
                  <c:v>1.570785215683786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8-4E20-8FEC-88D3C3FCD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380847"/>
        <c:axId val="1325382095"/>
      </c:scatterChart>
      <c:valAx>
        <c:axId val="132538084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5382095"/>
        <c:crosses val="autoZero"/>
        <c:crossBetween val="midCat"/>
      </c:valAx>
      <c:valAx>
        <c:axId val="132538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538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'Part-3'!$F$4</c:f>
              <c:strCache>
                <c:ptCount val="1"/>
                <c:pt idx="0">
                  <c:v>Asymptotique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'Part-3'!$E$5:$E$67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'Part-3'!$F$5:$F$67</c:f>
              <c:numCache>
                <c:formatCode>0.0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1.5707963267948966</c:v>
                </c:pt>
                <c:pt idx="19">
                  <c:v>1.5707963267948966</c:v>
                </c:pt>
                <c:pt idx="20">
                  <c:v>1.5707963267948966</c:v>
                </c:pt>
                <c:pt idx="21">
                  <c:v>1.5707963267948966</c:v>
                </c:pt>
                <c:pt idx="22">
                  <c:v>1.5707963267948966</c:v>
                </c:pt>
                <c:pt idx="23">
                  <c:v>1.5707963267948966</c:v>
                </c:pt>
                <c:pt idx="24">
                  <c:v>1.5707963267948966</c:v>
                </c:pt>
                <c:pt idx="25">
                  <c:v>1.5707963267948966</c:v>
                </c:pt>
                <c:pt idx="26">
                  <c:v>1.5707963267948966</c:v>
                </c:pt>
                <c:pt idx="27">
                  <c:v>1.5707963267948966</c:v>
                </c:pt>
                <c:pt idx="28">
                  <c:v>1.5707963267948966</c:v>
                </c:pt>
                <c:pt idx="29">
                  <c:v>1.5707963267948966</c:v>
                </c:pt>
                <c:pt idx="30">
                  <c:v>1.5707963267948966</c:v>
                </c:pt>
                <c:pt idx="31">
                  <c:v>1.5707963267948966</c:v>
                </c:pt>
                <c:pt idx="32">
                  <c:v>1.5707963267948966</c:v>
                </c:pt>
                <c:pt idx="33">
                  <c:v>1.5707963267948966</c:v>
                </c:pt>
                <c:pt idx="34">
                  <c:v>1.5707963267948966</c:v>
                </c:pt>
                <c:pt idx="35">
                  <c:v>1.5707963267948966</c:v>
                </c:pt>
                <c:pt idx="36">
                  <c:v>1.5707963267948966</c:v>
                </c:pt>
                <c:pt idx="37">
                  <c:v>1.5707963267948966</c:v>
                </c:pt>
                <c:pt idx="38">
                  <c:v>1.5707963267948966</c:v>
                </c:pt>
                <c:pt idx="39">
                  <c:v>1.5707963267948966</c:v>
                </c:pt>
                <c:pt idx="40">
                  <c:v>1.5707963267948966</c:v>
                </c:pt>
                <c:pt idx="41">
                  <c:v>1.5707963267948966</c:v>
                </c:pt>
                <c:pt idx="42">
                  <c:v>1.5707963267948966</c:v>
                </c:pt>
                <c:pt idx="43">
                  <c:v>1.5707963267948966</c:v>
                </c:pt>
                <c:pt idx="44">
                  <c:v>1.5707963267948966</c:v>
                </c:pt>
                <c:pt idx="45">
                  <c:v>1.5707963267948966</c:v>
                </c:pt>
                <c:pt idx="46">
                  <c:v>1.5707963267948966</c:v>
                </c:pt>
                <c:pt idx="47">
                  <c:v>1.5707963267948966</c:v>
                </c:pt>
                <c:pt idx="48">
                  <c:v>1.5707963267948966</c:v>
                </c:pt>
                <c:pt idx="49">
                  <c:v>1.5707963267948966</c:v>
                </c:pt>
                <c:pt idx="50">
                  <c:v>1.5707963267948966</c:v>
                </c:pt>
                <c:pt idx="51">
                  <c:v>1.5707963267948966</c:v>
                </c:pt>
                <c:pt idx="52">
                  <c:v>1.5707963267948966</c:v>
                </c:pt>
                <c:pt idx="53">
                  <c:v>1.5707963267948966</c:v>
                </c:pt>
                <c:pt idx="54">
                  <c:v>1.5707963267948966</c:v>
                </c:pt>
                <c:pt idx="55">
                  <c:v>1.5707963267948966</c:v>
                </c:pt>
                <c:pt idx="56">
                  <c:v>1.5707963267948966</c:v>
                </c:pt>
                <c:pt idx="57">
                  <c:v>1.5707963267948966</c:v>
                </c:pt>
                <c:pt idx="58">
                  <c:v>1.5707963267948966</c:v>
                </c:pt>
                <c:pt idx="59">
                  <c:v>1.5707963267948966</c:v>
                </c:pt>
                <c:pt idx="60">
                  <c:v>1.5707963267948966</c:v>
                </c:pt>
                <c:pt idx="61">
                  <c:v>1.5707963267948966</c:v>
                </c:pt>
                <c:pt idx="62">
                  <c:v>1.5707963267948966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BC-43E1-AA4E-D4C381849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059647"/>
        <c:axId val="1281068799"/>
      </c:scatterChart>
      <c:valAx>
        <c:axId val="128105964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1068799"/>
        <c:crosses val="autoZero"/>
        <c:crossBetween val="midCat"/>
      </c:valAx>
      <c:valAx>
        <c:axId val="128106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105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'Part-4'!$D$6</c:f>
              <c:strCache>
                <c:ptCount val="1"/>
                <c:pt idx="0">
                  <c:v>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'Part-4'!$C$7:$C$69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'Part-4'!$D$7:$D$69</c:f>
              <c:numCache>
                <c:formatCode>0.0</c:formatCode>
                <c:ptCount val="63"/>
                <c:pt idx="0">
                  <c:v>4.3427276862664858E-4</c:v>
                </c:pt>
                <c:pt idx="1">
                  <c:v>1.7368305846489969E-3</c:v>
                </c:pt>
                <c:pt idx="2">
                  <c:v>3.9068924991008799E-3</c:v>
                </c:pt>
                <c:pt idx="3">
                  <c:v>6.9431586635448073E-3</c:v>
                </c:pt>
                <c:pt idx="4">
                  <c:v>1.084381292219893E-2</c:v>
                </c:pt>
                <c:pt idx="5">
                  <c:v>1.5606526425729409E-2</c:v>
                </c:pt>
                <c:pt idx="6">
                  <c:v>2.122846225161637E-2</c:v>
                </c:pt>
                <c:pt idx="7">
                  <c:v>2.7706281011936895E-2</c:v>
                </c:pt>
                <c:pt idx="8">
                  <c:v>3.503614742536533E-2</c:v>
                </c:pt>
                <c:pt idx="9">
                  <c:v>4.3213737826425784E-2</c:v>
                </c:pt>
                <c:pt idx="10">
                  <c:v>0.1703333929878037</c:v>
                </c:pt>
                <c:pt idx="11">
                  <c:v>0.37426497940623665</c:v>
                </c:pt>
                <c:pt idx="12">
                  <c:v>0.64457989226918533</c:v>
                </c:pt>
                <c:pt idx="13">
                  <c:v>0.96910013008056417</c:v>
                </c:pt>
                <c:pt idx="14">
                  <c:v>1.3353890837021747</c:v>
                </c:pt>
                <c:pt idx="15">
                  <c:v>1.7318626841227402</c:v>
                </c:pt>
                <c:pt idx="16">
                  <c:v>2.1484384804769792</c:v>
                </c:pt>
                <c:pt idx="17">
                  <c:v>2.5767857486918451</c:v>
                </c:pt>
                <c:pt idx="18">
                  <c:v>3.0102999566398121</c:v>
                </c:pt>
                <c:pt idx="19">
                  <c:v>6.9897000433601884</c:v>
                </c:pt>
                <c:pt idx="20">
                  <c:v>10</c:v>
                </c:pt>
                <c:pt idx="21">
                  <c:v>12.304489213782739</c:v>
                </c:pt>
                <c:pt idx="22">
                  <c:v>14.14973347970818</c:v>
                </c:pt>
                <c:pt idx="23">
                  <c:v>15.68201724066995</c:v>
                </c:pt>
                <c:pt idx="24">
                  <c:v>16.989700043360187</c:v>
                </c:pt>
                <c:pt idx="25">
                  <c:v>18.129133566428553</c:v>
                </c:pt>
                <c:pt idx="26">
                  <c:v>19.138138523837167</c:v>
                </c:pt>
                <c:pt idx="27">
                  <c:v>20.043213737826427</c:v>
                </c:pt>
                <c:pt idx="28">
                  <c:v>26.031443726201822</c:v>
                </c:pt>
                <c:pt idx="29">
                  <c:v>29.547247909790627</c:v>
                </c:pt>
                <c:pt idx="30">
                  <c:v>32.043913319192995</c:v>
                </c:pt>
                <c:pt idx="31">
                  <c:v>33.981136917305022</c:v>
                </c:pt>
                <c:pt idx="32">
                  <c:v>35.564231213712851</c:v>
                </c:pt>
                <c:pt idx="33">
                  <c:v>36.902847025126292</c:v>
                </c:pt>
                <c:pt idx="34">
                  <c:v>38.062478271957907</c:v>
                </c:pt>
                <c:pt idx="35">
                  <c:v>39.085386321719596</c:v>
                </c:pt>
                <c:pt idx="36">
                  <c:v>40.000434272768629</c:v>
                </c:pt>
                <c:pt idx="37">
                  <c:v>46.020708485542954</c:v>
                </c:pt>
                <c:pt idx="38">
                  <c:v>49.542473349067599</c:v>
                </c:pt>
                <c:pt idx="39">
                  <c:v>52.041226969879546</c:v>
                </c:pt>
                <c:pt idx="40">
                  <c:v>53.979417458464908</c:v>
                </c:pt>
                <c:pt idx="41">
                  <c:v>55.563037071391726</c:v>
                </c:pt>
                <c:pt idx="42">
                  <c:v>56.901969663428787</c:v>
                </c:pt>
                <c:pt idx="43">
                  <c:v>58.061806525684851</c:v>
                </c:pt>
                <c:pt idx="44">
                  <c:v>59.084855550443464</c:v>
                </c:pt>
                <c:pt idx="45">
                  <c:v>60.000004342942646</c:v>
                </c:pt>
                <c:pt idx="46">
                  <c:v>66.020600999015699</c:v>
                </c:pt>
                <c:pt idx="47">
                  <c:v>69.542425576942648</c:v>
                </c:pt>
                <c:pt idx="48">
                  <c:v>72.041200097993283</c:v>
                </c:pt>
                <c:pt idx="49">
                  <c:v>73.979400260438155</c:v>
                </c:pt>
                <c:pt idx="50">
                  <c:v>75.56302512831023</c:v>
                </c:pt>
                <c:pt idx="51">
                  <c:v>76.901960888916662</c:v>
                </c:pt>
                <c:pt idx="52">
                  <c:v>78.061799807697383</c:v>
                </c:pt>
                <c:pt idx="53">
                  <c:v>79.084850242403093</c:v>
                </c:pt>
                <c:pt idx="54">
                  <c:v>80.000000043429452</c:v>
                </c:pt>
                <c:pt idx="55">
                  <c:v>86.020599924136988</c:v>
                </c:pt>
                <c:pt idx="56">
                  <c:v>89.542425099218747</c:v>
                </c:pt>
                <c:pt idx="57">
                  <c:v>92.041199829273594</c:v>
                </c:pt>
                <c:pt idx="58">
                  <c:v>93.979400088457538</c:v>
                </c:pt>
                <c:pt idx="59">
                  <c:v>95.563025008879251</c:v>
                </c:pt>
                <c:pt idx="60">
                  <c:v>96.901960801171455</c:v>
                </c:pt>
                <c:pt idx="61">
                  <c:v>98.061799740517458</c:v>
                </c:pt>
                <c:pt idx="62">
                  <c:v>99.084850189322665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2-4361-BE6B-5953A139C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40120"/>
        <c:axId val="509742416"/>
      </c:scatterChart>
      <c:valAx>
        <c:axId val="50974012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742416"/>
        <c:crosses val="autoZero"/>
        <c:crossBetween val="midCat"/>
      </c:valAx>
      <c:valAx>
        <c:axId val="50974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740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'Part-4'!$E$6</c:f>
              <c:strCache>
                <c:ptCount val="1"/>
                <c:pt idx="0">
                  <c:v>G2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'Part-4'!$C$7:$C$69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'Part-4'!$E$7:$E$69</c:f>
              <c:numCache>
                <c:formatCode>0.0</c:formatCode>
                <c:ptCount val="63"/>
                <c:pt idx="0">
                  <c:v>-4.3429426472960073E-6</c:v>
                </c:pt>
                <c:pt idx="1">
                  <c:v>-1.7371744532012113E-5</c:v>
                </c:pt>
                <c:pt idx="2">
                  <c:v>-3.9086327482554615E-5</c:v>
                </c:pt>
                <c:pt idx="3">
                  <c:v>-6.9486561213638528E-5</c:v>
                </c:pt>
                <c:pt idx="4">
                  <c:v>-1.0857226332782672E-4</c:v>
                </c:pt>
                <c:pt idx="5">
                  <c:v>-1.563431993241463E-4</c:v>
                </c:pt>
                <c:pt idx="6">
                  <c:v>-2.1279908259738876E-4</c:v>
                </c:pt>
                <c:pt idx="7">
                  <c:v>-2.779395744468995E-4</c:v>
                </c:pt>
                <c:pt idx="8">
                  <c:v>-3.517642840803915E-4</c:v>
                </c:pt>
                <c:pt idx="9">
                  <c:v>-4.3427276862676849E-4</c:v>
                </c:pt>
                <c:pt idx="10">
                  <c:v>-1.736830584649237E-3</c:v>
                </c:pt>
                <c:pt idx="11">
                  <c:v>-3.906892499101069E-3</c:v>
                </c:pt>
                <c:pt idx="12">
                  <c:v>-6.9431586635449408E-3</c:v>
                </c:pt>
                <c:pt idx="13">
                  <c:v>-1.0843812922198968E-2</c:v>
                </c:pt>
                <c:pt idx="14">
                  <c:v>-1.5606526425729333E-2</c:v>
                </c:pt>
                <c:pt idx="15">
                  <c:v>-2.1228462251616505E-2</c:v>
                </c:pt>
                <c:pt idx="16">
                  <c:v>-2.7706281011937121E-2</c:v>
                </c:pt>
                <c:pt idx="17">
                  <c:v>-3.5036147425365129E-2</c:v>
                </c:pt>
                <c:pt idx="18">
                  <c:v>-4.3213737826425784E-2</c:v>
                </c:pt>
                <c:pt idx="19">
                  <c:v>-0.17033339298780395</c:v>
                </c:pt>
                <c:pt idx="20">
                  <c:v>-0.37426497940623665</c:v>
                </c:pt>
                <c:pt idx="21">
                  <c:v>-0.644579892269185</c:v>
                </c:pt>
                <c:pt idx="22">
                  <c:v>-0.96910013008056395</c:v>
                </c:pt>
                <c:pt idx="23">
                  <c:v>-1.3353890837021747</c:v>
                </c:pt>
                <c:pt idx="24">
                  <c:v>-1.7318626841227402</c:v>
                </c:pt>
                <c:pt idx="25">
                  <c:v>-2.1484384804769792</c:v>
                </c:pt>
                <c:pt idx="26">
                  <c:v>-2.5767857486918451</c:v>
                </c:pt>
                <c:pt idx="27">
                  <c:v>-3.0102999566398121</c:v>
                </c:pt>
                <c:pt idx="28">
                  <c:v>-6.9897000433601875</c:v>
                </c:pt>
                <c:pt idx="29">
                  <c:v>-10</c:v>
                </c:pt>
                <c:pt idx="30">
                  <c:v>-12.304489213782739</c:v>
                </c:pt>
                <c:pt idx="31">
                  <c:v>-14.14973347970818</c:v>
                </c:pt>
                <c:pt idx="32">
                  <c:v>-15.68201724066995</c:v>
                </c:pt>
                <c:pt idx="33">
                  <c:v>-16.989700043360187</c:v>
                </c:pt>
                <c:pt idx="34">
                  <c:v>-18.129133566428553</c:v>
                </c:pt>
                <c:pt idx="35">
                  <c:v>-19.138138523837167</c:v>
                </c:pt>
                <c:pt idx="36">
                  <c:v>-20.043213737826427</c:v>
                </c:pt>
                <c:pt idx="37">
                  <c:v>-26.031443726201822</c:v>
                </c:pt>
                <c:pt idx="38">
                  <c:v>-29.547247909790627</c:v>
                </c:pt>
                <c:pt idx="39">
                  <c:v>-32.043913319192995</c:v>
                </c:pt>
                <c:pt idx="40">
                  <c:v>-33.981136917305022</c:v>
                </c:pt>
                <c:pt idx="41">
                  <c:v>-35.564231213712851</c:v>
                </c:pt>
                <c:pt idx="42">
                  <c:v>-36.902847025126292</c:v>
                </c:pt>
                <c:pt idx="43">
                  <c:v>-38.062478271957907</c:v>
                </c:pt>
                <c:pt idx="44">
                  <c:v>-39.085386321719596</c:v>
                </c:pt>
                <c:pt idx="45">
                  <c:v>-40.000434272768629</c:v>
                </c:pt>
                <c:pt idx="46">
                  <c:v>-46.020708485542954</c:v>
                </c:pt>
                <c:pt idx="47">
                  <c:v>-49.542473349067599</c:v>
                </c:pt>
                <c:pt idx="48">
                  <c:v>-52.041226969879546</c:v>
                </c:pt>
                <c:pt idx="49">
                  <c:v>-53.979417458464908</c:v>
                </c:pt>
                <c:pt idx="50">
                  <c:v>-55.563037071391726</c:v>
                </c:pt>
                <c:pt idx="51">
                  <c:v>-56.901969663428787</c:v>
                </c:pt>
                <c:pt idx="52">
                  <c:v>-58.061806525684851</c:v>
                </c:pt>
                <c:pt idx="53">
                  <c:v>-59.084855550443464</c:v>
                </c:pt>
                <c:pt idx="54">
                  <c:v>-60.000004342942646</c:v>
                </c:pt>
                <c:pt idx="55">
                  <c:v>-66.020600999015699</c:v>
                </c:pt>
                <c:pt idx="56">
                  <c:v>-69.542425576942648</c:v>
                </c:pt>
                <c:pt idx="57">
                  <c:v>-72.041200097993283</c:v>
                </c:pt>
                <c:pt idx="58">
                  <c:v>-73.979400260438155</c:v>
                </c:pt>
                <c:pt idx="59">
                  <c:v>-75.56302512831023</c:v>
                </c:pt>
                <c:pt idx="60">
                  <c:v>-76.901960888916662</c:v>
                </c:pt>
                <c:pt idx="61">
                  <c:v>-78.061799807697383</c:v>
                </c:pt>
                <c:pt idx="62">
                  <c:v>-79.084850242403093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E5-4DD3-AC37-D7FA09E84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853296"/>
        <c:axId val="513854608"/>
      </c:scatterChart>
      <c:valAx>
        <c:axId val="5138532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854608"/>
        <c:crosses val="autoZero"/>
        <c:crossBetween val="midCat"/>
      </c:valAx>
      <c:valAx>
        <c:axId val="5138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85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'Part-4'!$F$6</c:f>
              <c:strCache>
                <c:ptCount val="1"/>
                <c:pt idx="0">
                  <c:v>Gain 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'Part-4'!$C$7:$C$69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'Part-4'!$F$7:$F$69</c:f>
              <c:numCache>
                <c:formatCode>0.0</c:formatCode>
                <c:ptCount val="63"/>
                <c:pt idx="0">
                  <c:v>4.2992982597935258E-4</c:v>
                </c:pt>
                <c:pt idx="1">
                  <c:v>1.7194588401169848E-3</c:v>
                </c:pt>
                <c:pt idx="2">
                  <c:v>3.8678061716183251E-3</c:v>
                </c:pt>
                <c:pt idx="3">
                  <c:v>6.8736721023311687E-3</c:v>
                </c:pt>
                <c:pt idx="4">
                  <c:v>1.0735240658871104E-2</c:v>
                </c:pt>
                <c:pt idx="5">
                  <c:v>1.5450183226405264E-2</c:v>
                </c:pt>
                <c:pt idx="6">
                  <c:v>2.101566316901898E-2</c:v>
                </c:pt>
                <c:pt idx="7">
                  <c:v>2.7428341437489994E-2</c:v>
                </c:pt>
                <c:pt idx="8">
                  <c:v>3.4684383141284941E-2</c:v>
                </c:pt>
                <c:pt idx="9">
                  <c:v>4.2779465057799018E-2</c:v>
                </c:pt>
                <c:pt idx="10">
                  <c:v>0.16859656240315446</c:v>
                </c:pt>
                <c:pt idx="11">
                  <c:v>0.37035808690713556</c:v>
                </c:pt>
                <c:pt idx="12">
                  <c:v>0.63763673360564044</c:v>
                </c:pt>
                <c:pt idx="13">
                  <c:v>0.95825631715836523</c:v>
                </c:pt>
                <c:pt idx="14">
                  <c:v>1.3197825572764454</c:v>
                </c:pt>
                <c:pt idx="15">
                  <c:v>1.7106342218711237</c:v>
                </c:pt>
                <c:pt idx="16">
                  <c:v>2.1207321994650421</c:v>
                </c:pt>
                <c:pt idx="17">
                  <c:v>2.54174960126648</c:v>
                </c:pt>
                <c:pt idx="18">
                  <c:v>2.9670862188133862</c:v>
                </c:pt>
                <c:pt idx="19">
                  <c:v>6.819366650372384</c:v>
                </c:pt>
                <c:pt idx="20">
                  <c:v>9.6257350205937637</c:v>
                </c:pt>
                <c:pt idx="21">
                  <c:v>11.659909321513554</c:v>
                </c:pt>
                <c:pt idx="22">
                  <c:v>13.180633349627616</c:v>
                </c:pt>
                <c:pt idx="23">
                  <c:v>14.346628156967775</c:v>
                </c:pt>
                <c:pt idx="24">
                  <c:v>15.257837359237447</c:v>
                </c:pt>
                <c:pt idx="25">
                  <c:v>15.980695085951574</c:v>
                </c:pt>
                <c:pt idx="26">
                  <c:v>16.561352775145323</c:v>
                </c:pt>
                <c:pt idx="27">
                  <c:v>17.032913781186615</c:v>
                </c:pt>
                <c:pt idx="28">
                  <c:v>19.041743682841634</c:v>
                </c:pt>
                <c:pt idx="29">
                  <c:v>19.547247909790627</c:v>
                </c:pt>
                <c:pt idx="30">
                  <c:v>19.739424105410258</c:v>
                </c:pt>
                <c:pt idx="31">
                  <c:v>19.83140343759684</c:v>
                </c:pt>
                <c:pt idx="32">
                  <c:v>19.882213973042902</c:v>
                </c:pt>
                <c:pt idx="33">
                  <c:v>19.913146981766104</c:v>
                </c:pt>
                <c:pt idx="34">
                  <c:v>19.933344705529354</c:v>
                </c:pt>
                <c:pt idx="35">
                  <c:v>19.947247797882429</c:v>
                </c:pt>
                <c:pt idx="36">
                  <c:v>19.957220534942202</c:v>
                </c:pt>
                <c:pt idx="37">
                  <c:v>19.989264759341133</c:v>
                </c:pt>
                <c:pt idx="38">
                  <c:v>19.995225439276972</c:v>
                </c:pt>
                <c:pt idx="39">
                  <c:v>19.99731365068655</c:v>
                </c:pt>
                <c:pt idx="40">
                  <c:v>19.998280541159886</c:v>
                </c:pt>
                <c:pt idx="41">
                  <c:v>19.998805857678875</c:v>
                </c:pt>
                <c:pt idx="42">
                  <c:v>19.999122638302495</c:v>
                </c:pt>
                <c:pt idx="43">
                  <c:v>19.999328253726944</c:v>
                </c:pt>
                <c:pt idx="44">
                  <c:v>19.999469228723868</c:v>
                </c:pt>
                <c:pt idx="45">
                  <c:v>19.999570070174016</c:v>
                </c:pt>
                <c:pt idx="46">
                  <c:v>19.999892513472744</c:v>
                </c:pt>
                <c:pt idx="47">
                  <c:v>19.999952227875049</c:v>
                </c:pt>
                <c:pt idx="48">
                  <c:v>19.999973128113737</c:v>
                </c:pt>
                <c:pt idx="49">
                  <c:v>19.999982801973246</c:v>
                </c:pt>
                <c:pt idx="50">
                  <c:v>19.999988056918504</c:v>
                </c:pt>
                <c:pt idx="51">
                  <c:v>19.999991225487875</c:v>
                </c:pt>
                <c:pt idx="52">
                  <c:v>19.999993282012532</c:v>
                </c:pt>
                <c:pt idx="53">
                  <c:v>19.999994691959628</c:v>
                </c:pt>
                <c:pt idx="54">
                  <c:v>19.999995700486807</c:v>
                </c:pt>
                <c:pt idx="55">
                  <c:v>19.99999892512129</c:v>
                </c:pt>
                <c:pt idx="56">
                  <c:v>19.999999522276099</c:v>
                </c:pt>
                <c:pt idx="57">
                  <c:v>19.999999731280312</c:v>
                </c:pt>
                <c:pt idx="58">
                  <c:v>19.999999828019384</c:v>
                </c:pt>
                <c:pt idx="59">
                  <c:v>19.999999880569021</c:v>
                </c:pt>
                <c:pt idx="60">
                  <c:v>19.999999912254793</c:v>
                </c:pt>
                <c:pt idx="61">
                  <c:v>19.999999932820074</c:v>
                </c:pt>
                <c:pt idx="62">
                  <c:v>19.999999946919573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9-42B4-B827-47D536138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01136"/>
        <c:axId val="513903760"/>
      </c:scatterChart>
      <c:valAx>
        <c:axId val="513901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03760"/>
        <c:crosses val="autoZero"/>
        <c:crossBetween val="midCat"/>
      </c:valAx>
      <c:valAx>
        <c:axId val="51390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0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'Part-4'!$D$6</c:f>
              <c:strCache>
                <c:ptCount val="1"/>
                <c:pt idx="0">
                  <c:v>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'Part-4'!$C$7:$C$69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'Part-4'!$D$7:$D$69</c:f>
              <c:numCache>
                <c:formatCode>0.0</c:formatCode>
                <c:ptCount val="63"/>
                <c:pt idx="0">
                  <c:v>4.3427276862664858E-4</c:v>
                </c:pt>
                <c:pt idx="1">
                  <c:v>1.7368305846489969E-3</c:v>
                </c:pt>
                <c:pt idx="2">
                  <c:v>3.9068924991008799E-3</c:v>
                </c:pt>
                <c:pt idx="3">
                  <c:v>6.9431586635448073E-3</c:v>
                </c:pt>
                <c:pt idx="4">
                  <c:v>1.084381292219893E-2</c:v>
                </c:pt>
                <c:pt idx="5">
                  <c:v>1.5606526425729409E-2</c:v>
                </c:pt>
                <c:pt idx="6">
                  <c:v>2.122846225161637E-2</c:v>
                </c:pt>
                <c:pt idx="7">
                  <c:v>2.7706281011936895E-2</c:v>
                </c:pt>
                <c:pt idx="8">
                  <c:v>3.503614742536533E-2</c:v>
                </c:pt>
                <c:pt idx="9">
                  <c:v>4.3213737826425784E-2</c:v>
                </c:pt>
                <c:pt idx="10">
                  <c:v>0.1703333929878037</c:v>
                </c:pt>
                <c:pt idx="11">
                  <c:v>0.37426497940623665</c:v>
                </c:pt>
                <c:pt idx="12">
                  <c:v>0.64457989226918533</c:v>
                </c:pt>
                <c:pt idx="13">
                  <c:v>0.96910013008056417</c:v>
                </c:pt>
                <c:pt idx="14">
                  <c:v>1.3353890837021747</c:v>
                </c:pt>
                <c:pt idx="15">
                  <c:v>1.7318626841227402</c:v>
                </c:pt>
                <c:pt idx="16">
                  <c:v>2.1484384804769792</c:v>
                </c:pt>
                <c:pt idx="17">
                  <c:v>2.5767857486918451</c:v>
                </c:pt>
                <c:pt idx="18">
                  <c:v>3.0102999566398121</c:v>
                </c:pt>
                <c:pt idx="19">
                  <c:v>6.9897000433601884</c:v>
                </c:pt>
                <c:pt idx="20">
                  <c:v>10</c:v>
                </c:pt>
                <c:pt idx="21">
                  <c:v>12.304489213782739</c:v>
                </c:pt>
                <c:pt idx="22">
                  <c:v>14.14973347970818</c:v>
                </c:pt>
                <c:pt idx="23">
                  <c:v>15.68201724066995</c:v>
                </c:pt>
                <c:pt idx="24">
                  <c:v>16.989700043360187</c:v>
                </c:pt>
                <c:pt idx="25">
                  <c:v>18.129133566428553</c:v>
                </c:pt>
                <c:pt idx="26">
                  <c:v>19.138138523837167</c:v>
                </c:pt>
                <c:pt idx="27">
                  <c:v>20.043213737826427</c:v>
                </c:pt>
                <c:pt idx="28">
                  <c:v>26.031443726201822</c:v>
                </c:pt>
                <c:pt idx="29">
                  <c:v>29.547247909790627</c:v>
                </c:pt>
                <c:pt idx="30">
                  <c:v>32.043913319192995</c:v>
                </c:pt>
                <c:pt idx="31">
                  <c:v>33.981136917305022</c:v>
                </c:pt>
                <c:pt idx="32">
                  <c:v>35.564231213712851</c:v>
                </c:pt>
                <c:pt idx="33">
                  <c:v>36.902847025126292</c:v>
                </c:pt>
                <c:pt idx="34">
                  <c:v>38.062478271957907</c:v>
                </c:pt>
                <c:pt idx="35">
                  <c:v>39.085386321719596</c:v>
                </c:pt>
                <c:pt idx="36">
                  <c:v>40.000434272768629</c:v>
                </c:pt>
                <c:pt idx="37">
                  <c:v>46.020708485542954</c:v>
                </c:pt>
                <c:pt idx="38">
                  <c:v>49.542473349067599</c:v>
                </c:pt>
                <c:pt idx="39">
                  <c:v>52.041226969879546</c:v>
                </c:pt>
                <c:pt idx="40">
                  <c:v>53.979417458464908</c:v>
                </c:pt>
                <c:pt idx="41">
                  <c:v>55.563037071391726</c:v>
                </c:pt>
                <c:pt idx="42">
                  <c:v>56.901969663428787</c:v>
                </c:pt>
                <c:pt idx="43">
                  <c:v>58.061806525684851</c:v>
                </c:pt>
                <c:pt idx="44">
                  <c:v>59.084855550443464</c:v>
                </c:pt>
                <c:pt idx="45">
                  <c:v>60.000004342942646</c:v>
                </c:pt>
                <c:pt idx="46">
                  <c:v>66.020600999015699</c:v>
                </c:pt>
                <c:pt idx="47">
                  <c:v>69.542425576942648</c:v>
                </c:pt>
                <c:pt idx="48">
                  <c:v>72.041200097993283</c:v>
                </c:pt>
                <c:pt idx="49">
                  <c:v>73.979400260438155</c:v>
                </c:pt>
                <c:pt idx="50">
                  <c:v>75.56302512831023</c:v>
                </c:pt>
                <c:pt idx="51">
                  <c:v>76.901960888916662</c:v>
                </c:pt>
                <c:pt idx="52">
                  <c:v>78.061799807697383</c:v>
                </c:pt>
                <c:pt idx="53">
                  <c:v>79.084850242403093</c:v>
                </c:pt>
                <c:pt idx="54">
                  <c:v>80.000000043429452</c:v>
                </c:pt>
                <c:pt idx="55">
                  <c:v>86.020599924136988</c:v>
                </c:pt>
                <c:pt idx="56">
                  <c:v>89.542425099218747</c:v>
                </c:pt>
                <c:pt idx="57">
                  <c:v>92.041199829273594</c:v>
                </c:pt>
                <c:pt idx="58">
                  <c:v>93.979400088457538</c:v>
                </c:pt>
                <c:pt idx="59">
                  <c:v>95.563025008879251</c:v>
                </c:pt>
                <c:pt idx="60">
                  <c:v>96.901960801171455</c:v>
                </c:pt>
                <c:pt idx="61">
                  <c:v>98.061799740517458</c:v>
                </c:pt>
                <c:pt idx="62">
                  <c:v>99.084850189322665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E-4088-9FCD-E8701B4835A7}"/>
            </c:ext>
          </c:extLst>
        </c:ser>
        <c:ser>
          <c:idx val="1"/>
          <c:order val="1"/>
          <c:tx>
            <c:strRef>
              <c:f>'Part-4'!$E$6</c:f>
              <c:strCache>
                <c:ptCount val="1"/>
                <c:pt idx="0">
                  <c:v>G2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'Part-4'!$C$7:$C$69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'Part-4'!$E$7:$E$69</c:f>
              <c:numCache>
                <c:formatCode>0.0</c:formatCode>
                <c:ptCount val="63"/>
                <c:pt idx="0">
                  <c:v>-4.3429426472960073E-6</c:v>
                </c:pt>
                <c:pt idx="1">
                  <c:v>-1.7371744532012113E-5</c:v>
                </c:pt>
                <c:pt idx="2">
                  <c:v>-3.9086327482554615E-5</c:v>
                </c:pt>
                <c:pt idx="3">
                  <c:v>-6.9486561213638528E-5</c:v>
                </c:pt>
                <c:pt idx="4">
                  <c:v>-1.0857226332782672E-4</c:v>
                </c:pt>
                <c:pt idx="5">
                  <c:v>-1.563431993241463E-4</c:v>
                </c:pt>
                <c:pt idx="6">
                  <c:v>-2.1279908259738876E-4</c:v>
                </c:pt>
                <c:pt idx="7">
                  <c:v>-2.779395744468995E-4</c:v>
                </c:pt>
                <c:pt idx="8">
                  <c:v>-3.517642840803915E-4</c:v>
                </c:pt>
                <c:pt idx="9">
                  <c:v>-4.3427276862676849E-4</c:v>
                </c:pt>
                <c:pt idx="10">
                  <c:v>-1.736830584649237E-3</c:v>
                </c:pt>
                <c:pt idx="11">
                  <c:v>-3.906892499101069E-3</c:v>
                </c:pt>
                <c:pt idx="12">
                  <c:v>-6.9431586635449408E-3</c:v>
                </c:pt>
                <c:pt idx="13">
                  <c:v>-1.0843812922198968E-2</c:v>
                </c:pt>
                <c:pt idx="14">
                  <c:v>-1.5606526425729333E-2</c:v>
                </c:pt>
                <c:pt idx="15">
                  <c:v>-2.1228462251616505E-2</c:v>
                </c:pt>
                <c:pt idx="16">
                  <c:v>-2.7706281011937121E-2</c:v>
                </c:pt>
                <c:pt idx="17">
                  <c:v>-3.5036147425365129E-2</c:v>
                </c:pt>
                <c:pt idx="18">
                  <c:v>-4.3213737826425784E-2</c:v>
                </c:pt>
                <c:pt idx="19">
                  <c:v>-0.17033339298780395</c:v>
                </c:pt>
                <c:pt idx="20">
                  <c:v>-0.37426497940623665</c:v>
                </c:pt>
                <c:pt idx="21">
                  <c:v>-0.644579892269185</c:v>
                </c:pt>
                <c:pt idx="22">
                  <c:v>-0.96910013008056395</c:v>
                </c:pt>
                <c:pt idx="23">
                  <c:v>-1.3353890837021747</c:v>
                </c:pt>
                <c:pt idx="24">
                  <c:v>-1.7318626841227402</c:v>
                </c:pt>
                <c:pt idx="25">
                  <c:v>-2.1484384804769792</c:v>
                </c:pt>
                <c:pt idx="26">
                  <c:v>-2.5767857486918451</c:v>
                </c:pt>
                <c:pt idx="27">
                  <c:v>-3.0102999566398121</c:v>
                </c:pt>
                <c:pt idx="28">
                  <c:v>-6.9897000433601875</c:v>
                </c:pt>
                <c:pt idx="29">
                  <c:v>-10</c:v>
                </c:pt>
                <c:pt idx="30">
                  <c:v>-12.304489213782739</c:v>
                </c:pt>
                <c:pt idx="31">
                  <c:v>-14.14973347970818</c:v>
                </c:pt>
                <c:pt idx="32">
                  <c:v>-15.68201724066995</c:v>
                </c:pt>
                <c:pt idx="33">
                  <c:v>-16.989700043360187</c:v>
                </c:pt>
                <c:pt idx="34">
                  <c:v>-18.129133566428553</c:v>
                </c:pt>
                <c:pt idx="35">
                  <c:v>-19.138138523837167</c:v>
                </c:pt>
                <c:pt idx="36">
                  <c:v>-20.043213737826427</c:v>
                </c:pt>
                <c:pt idx="37">
                  <c:v>-26.031443726201822</c:v>
                </c:pt>
                <c:pt idx="38">
                  <c:v>-29.547247909790627</c:v>
                </c:pt>
                <c:pt idx="39">
                  <c:v>-32.043913319192995</c:v>
                </c:pt>
                <c:pt idx="40">
                  <c:v>-33.981136917305022</c:v>
                </c:pt>
                <c:pt idx="41">
                  <c:v>-35.564231213712851</c:v>
                </c:pt>
                <c:pt idx="42">
                  <c:v>-36.902847025126292</c:v>
                </c:pt>
                <c:pt idx="43">
                  <c:v>-38.062478271957907</c:v>
                </c:pt>
                <c:pt idx="44">
                  <c:v>-39.085386321719596</c:v>
                </c:pt>
                <c:pt idx="45">
                  <c:v>-40.000434272768629</c:v>
                </c:pt>
                <c:pt idx="46">
                  <c:v>-46.020708485542954</c:v>
                </c:pt>
                <c:pt idx="47">
                  <c:v>-49.542473349067599</c:v>
                </c:pt>
                <c:pt idx="48">
                  <c:v>-52.041226969879546</c:v>
                </c:pt>
                <c:pt idx="49">
                  <c:v>-53.979417458464908</c:v>
                </c:pt>
                <c:pt idx="50">
                  <c:v>-55.563037071391726</c:v>
                </c:pt>
                <c:pt idx="51">
                  <c:v>-56.901969663428787</c:v>
                </c:pt>
                <c:pt idx="52">
                  <c:v>-58.061806525684851</c:v>
                </c:pt>
                <c:pt idx="53">
                  <c:v>-59.084855550443464</c:v>
                </c:pt>
                <c:pt idx="54">
                  <c:v>-60.000004342942646</c:v>
                </c:pt>
                <c:pt idx="55">
                  <c:v>-66.020600999015699</c:v>
                </c:pt>
                <c:pt idx="56">
                  <c:v>-69.542425576942648</c:v>
                </c:pt>
                <c:pt idx="57">
                  <c:v>-72.041200097993283</c:v>
                </c:pt>
                <c:pt idx="58">
                  <c:v>-73.979400260438155</c:v>
                </c:pt>
                <c:pt idx="59">
                  <c:v>-75.56302512831023</c:v>
                </c:pt>
                <c:pt idx="60">
                  <c:v>-76.901960888916662</c:v>
                </c:pt>
                <c:pt idx="61">
                  <c:v>-78.061799807697383</c:v>
                </c:pt>
                <c:pt idx="62">
                  <c:v>-79.084850242403093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7E-4088-9FCD-E8701B4835A7}"/>
            </c:ext>
          </c:extLst>
        </c:ser>
        <c:ser>
          <c:idx val="2"/>
          <c:order val="2"/>
          <c:tx>
            <c:strRef>
              <c:f>'Part-4'!$F$6</c:f>
              <c:strCache>
                <c:ptCount val="1"/>
                <c:pt idx="0">
                  <c:v>Gain 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'Part-4'!$C$7:$C$69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'Part-4'!$F$7:$F$69</c:f>
              <c:numCache>
                <c:formatCode>0.0</c:formatCode>
                <c:ptCount val="63"/>
                <c:pt idx="0">
                  <c:v>4.2992982597935258E-4</c:v>
                </c:pt>
                <c:pt idx="1">
                  <c:v>1.7194588401169848E-3</c:v>
                </c:pt>
                <c:pt idx="2">
                  <c:v>3.8678061716183251E-3</c:v>
                </c:pt>
                <c:pt idx="3">
                  <c:v>6.8736721023311687E-3</c:v>
                </c:pt>
                <c:pt idx="4">
                  <c:v>1.0735240658871104E-2</c:v>
                </c:pt>
                <c:pt idx="5">
                  <c:v>1.5450183226405264E-2</c:v>
                </c:pt>
                <c:pt idx="6">
                  <c:v>2.101566316901898E-2</c:v>
                </c:pt>
                <c:pt idx="7">
                  <c:v>2.7428341437489994E-2</c:v>
                </c:pt>
                <c:pt idx="8">
                  <c:v>3.4684383141284941E-2</c:v>
                </c:pt>
                <c:pt idx="9">
                  <c:v>4.2779465057799018E-2</c:v>
                </c:pt>
                <c:pt idx="10">
                  <c:v>0.16859656240315446</c:v>
                </c:pt>
                <c:pt idx="11">
                  <c:v>0.37035808690713556</c:v>
                </c:pt>
                <c:pt idx="12">
                  <c:v>0.63763673360564044</c:v>
                </c:pt>
                <c:pt idx="13">
                  <c:v>0.95825631715836523</c:v>
                </c:pt>
                <c:pt idx="14">
                  <c:v>1.3197825572764454</c:v>
                </c:pt>
                <c:pt idx="15">
                  <c:v>1.7106342218711237</c:v>
                </c:pt>
                <c:pt idx="16">
                  <c:v>2.1207321994650421</c:v>
                </c:pt>
                <c:pt idx="17">
                  <c:v>2.54174960126648</c:v>
                </c:pt>
                <c:pt idx="18">
                  <c:v>2.9670862188133862</c:v>
                </c:pt>
                <c:pt idx="19">
                  <c:v>6.819366650372384</c:v>
                </c:pt>
                <c:pt idx="20">
                  <c:v>9.6257350205937637</c:v>
                </c:pt>
                <c:pt idx="21">
                  <c:v>11.659909321513554</c:v>
                </c:pt>
                <c:pt idx="22">
                  <c:v>13.180633349627616</c:v>
                </c:pt>
                <c:pt idx="23">
                  <c:v>14.346628156967775</c:v>
                </c:pt>
                <c:pt idx="24">
                  <c:v>15.257837359237447</c:v>
                </c:pt>
                <c:pt idx="25">
                  <c:v>15.980695085951574</c:v>
                </c:pt>
                <c:pt idx="26">
                  <c:v>16.561352775145323</c:v>
                </c:pt>
                <c:pt idx="27">
                  <c:v>17.032913781186615</c:v>
                </c:pt>
                <c:pt idx="28">
                  <c:v>19.041743682841634</c:v>
                </c:pt>
                <c:pt idx="29">
                  <c:v>19.547247909790627</c:v>
                </c:pt>
                <c:pt idx="30">
                  <c:v>19.739424105410258</c:v>
                </c:pt>
                <c:pt idx="31">
                  <c:v>19.83140343759684</c:v>
                </c:pt>
                <c:pt idx="32">
                  <c:v>19.882213973042902</c:v>
                </c:pt>
                <c:pt idx="33">
                  <c:v>19.913146981766104</c:v>
                </c:pt>
                <c:pt idx="34">
                  <c:v>19.933344705529354</c:v>
                </c:pt>
                <c:pt idx="35">
                  <c:v>19.947247797882429</c:v>
                </c:pt>
                <c:pt idx="36">
                  <c:v>19.957220534942202</c:v>
                </c:pt>
                <c:pt idx="37">
                  <c:v>19.989264759341133</c:v>
                </c:pt>
                <c:pt idx="38">
                  <c:v>19.995225439276972</c:v>
                </c:pt>
                <c:pt idx="39">
                  <c:v>19.99731365068655</c:v>
                </c:pt>
                <c:pt idx="40">
                  <c:v>19.998280541159886</c:v>
                </c:pt>
                <c:pt idx="41">
                  <c:v>19.998805857678875</c:v>
                </c:pt>
                <c:pt idx="42">
                  <c:v>19.999122638302495</c:v>
                </c:pt>
                <c:pt idx="43">
                  <c:v>19.999328253726944</c:v>
                </c:pt>
                <c:pt idx="44">
                  <c:v>19.999469228723868</c:v>
                </c:pt>
                <c:pt idx="45">
                  <c:v>19.999570070174016</c:v>
                </c:pt>
                <c:pt idx="46">
                  <c:v>19.999892513472744</c:v>
                </c:pt>
                <c:pt idx="47">
                  <c:v>19.999952227875049</c:v>
                </c:pt>
                <c:pt idx="48">
                  <c:v>19.999973128113737</c:v>
                </c:pt>
                <c:pt idx="49">
                  <c:v>19.999982801973246</c:v>
                </c:pt>
                <c:pt idx="50">
                  <c:v>19.999988056918504</c:v>
                </c:pt>
                <c:pt idx="51">
                  <c:v>19.999991225487875</c:v>
                </c:pt>
                <c:pt idx="52">
                  <c:v>19.999993282012532</c:v>
                </c:pt>
                <c:pt idx="53">
                  <c:v>19.999994691959628</c:v>
                </c:pt>
                <c:pt idx="54">
                  <c:v>19.999995700486807</c:v>
                </c:pt>
                <c:pt idx="55">
                  <c:v>19.99999892512129</c:v>
                </c:pt>
                <c:pt idx="56">
                  <c:v>19.999999522276099</c:v>
                </c:pt>
                <c:pt idx="57">
                  <c:v>19.999999731280312</c:v>
                </c:pt>
                <c:pt idx="58">
                  <c:v>19.999999828019384</c:v>
                </c:pt>
                <c:pt idx="59">
                  <c:v>19.999999880569021</c:v>
                </c:pt>
                <c:pt idx="60">
                  <c:v>19.999999912254793</c:v>
                </c:pt>
                <c:pt idx="61">
                  <c:v>19.999999932820074</c:v>
                </c:pt>
                <c:pt idx="62">
                  <c:v>19.999999946919573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7E-4088-9FCD-E8701B483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863800"/>
        <c:axId val="513868064"/>
      </c:scatterChart>
      <c:valAx>
        <c:axId val="5138638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868064"/>
        <c:crosses val="autoZero"/>
        <c:crossBetween val="midCat"/>
      </c:valAx>
      <c:valAx>
        <c:axId val="51386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863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Asymptote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'Part-4'!$G$6</c:f>
              <c:strCache>
                <c:ptCount val="1"/>
                <c:pt idx="0">
                  <c:v>Asymptotique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'Part-4'!$C$7:$C$69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'Part-4'!$G$7:$G$69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6.0205999132796242</c:v>
                </c:pt>
                <c:pt idx="20">
                  <c:v>9.5424250943932485</c:v>
                </c:pt>
                <c:pt idx="21">
                  <c:v>12.041199826559248</c:v>
                </c:pt>
                <c:pt idx="22">
                  <c:v>13.979400086720377</c:v>
                </c:pt>
                <c:pt idx="23">
                  <c:v>15.563025007672874</c:v>
                </c:pt>
                <c:pt idx="24">
                  <c:v>16.901960800285135</c:v>
                </c:pt>
                <c:pt idx="25">
                  <c:v>18.061799739838872</c:v>
                </c:pt>
                <c:pt idx="26">
                  <c:v>19.084850188786497</c:v>
                </c:pt>
                <c:pt idx="27">
                  <c:v>20</c:v>
                </c:pt>
                <c:pt idx="28">
                  <c:v>26.020599913279625</c:v>
                </c:pt>
                <c:pt idx="29">
                  <c:v>29.542425094393248</c:v>
                </c:pt>
                <c:pt idx="30">
                  <c:v>32.041199826559243</c:v>
                </c:pt>
                <c:pt idx="31">
                  <c:v>33.979400086720375</c:v>
                </c:pt>
                <c:pt idx="32">
                  <c:v>35.56302500767287</c:v>
                </c:pt>
                <c:pt idx="33">
                  <c:v>36.901960800285138</c:v>
                </c:pt>
                <c:pt idx="34">
                  <c:v>38.061799739838868</c:v>
                </c:pt>
                <c:pt idx="35">
                  <c:v>39.084850188786497</c:v>
                </c:pt>
                <c:pt idx="36">
                  <c:v>40</c:v>
                </c:pt>
                <c:pt idx="37">
                  <c:v>46.020599913279625</c:v>
                </c:pt>
                <c:pt idx="38">
                  <c:v>49.542425094393252</c:v>
                </c:pt>
                <c:pt idx="39">
                  <c:v>52.04119982655925</c:v>
                </c:pt>
                <c:pt idx="40">
                  <c:v>53.979400086720375</c:v>
                </c:pt>
                <c:pt idx="41">
                  <c:v>55.56302500767287</c:v>
                </c:pt>
                <c:pt idx="42">
                  <c:v>56.901960800285138</c:v>
                </c:pt>
                <c:pt idx="43">
                  <c:v>58.061799739838875</c:v>
                </c:pt>
                <c:pt idx="44">
                  <c:v>59.084850188786497</c:v>
                </c:pt>
                <c:pt idx="45">
                  <c:v>60</c:v>
                </c:pt>
                <c:pt idx="46">
                  <c:v>66.020599913279625</c:v>
                </c:pt>
                <c:pt idx="47">
                  <c:v>69.542425094393252</c:v>
                </c:pt>
                <c:pt idx="48">
                  <c:v>72.04119982655925</c:v>
                </c:pt>
                <c:pt idx="49">
                  <c:v>73.979400086720375</c:v>
                </c:pt>
                <c:pt idx="50">
                  <c:v>75.563025007672863</c:v>
                </c:pt>
                <c:pt idx="51">
                  <c:v>76.901960800285138</c:v>
                </c:pt>
                <c:pt idx="52">
                  <c:v>78.061799739838875</c:v>
                </c:pt>
                <c:pt idx="53">
                  <c:v>79.08485018878649</c:v>
                </c:pt>
                <c:pt idx="54">
                  <c:v>80</c:v>
                </c:pt>
                <c:pt idx="55">
                  <c:v>86.020599913279625</c:v>
                </c:pt>
                <c:pt idx="56">
                  <c:v>89.542425094393252</c:v>
                </c:pt>
                <c:pt idx="57">
                  <c:v>92.04119982655925</c:v>
                </c:pt>
                <c:pt idx="58">
                  <c:v>93.979400086720375</c:v>
                </c:pt>
                <c:pt idx="59">
                  <c:v>95.563025007672877</c:v>
                </c:pt>
                <c:pt idx="60">
                  <c:v>96.901960800285138</c:v>
                </c:pt>
                <c:pt idx="61">
                  <c:v>98.061799739838875</c:v>
                </c:pt>
                <c:pt idx="62">
                  <c:v>99.084850188786504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34-4C94-8801-EA547C8E2734}"/>
            </c:ext>
          </c:extLst>
        </c:ser>
        <c:ser>
          <c:idx val="1"/>
          <c:order val="1"/>
          <c:tx>
            <c:strRef>
              <c:f>'Part-4'!$H$6</c:f>
              <c:strCache>
                <c:ptCount val="1"/>
                <c:pt idx="0">
                  <c:v>Asymptotique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'Part-4'!$C$7:$C$69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'Part-4'!$H$7:$H$69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-6.0205999132796242</c:v>
                </c:pt>
                <c:pt idx="29">
                  <c:v>-9.5424250943932485</c:v>
                </c:pt>
                <c:pt idx="30">
                  <c:v>-12.041199826559248</c:v>
                </c:pt>
                <c:pt idx="31">
                  <c:v>-13.979400086720377</c:v>
                </c:pt>
                <c:pt idx="32">
                  <c:v>-15.563025007672874</c:v>
                </c:pt>
                <c:pt idx="33">
                  <c:v>-16.901960800285135</c:v>
                </c:pt>
                <c:pt idx="34">
                  <c:v>-18.061799739838872</c:v>
                </c:pt>
                <c:pt idx="35">
                  <c:v>-19.084850188786497</c:v>
                </c:pt>
                <c:pt idx="36">
                  <c:v>-20</c:v>
                </c:pt>
                <c:pt idx="37">
                  <c:v>-26.020599913279625</c:v>
                </c:pt>
                <c:pt idx="38">
                  <c:v>-29.542425094393248</c:v>
                </c:pt>
                <c:pt idx="39">
                  <c:v>-32.041199826559243</c:v>
                </c:pt>
                <c:pt idx="40">
                  <c:v>-33.979400086720375</c:v>
                </c:pt>
                <c:pt idx="41">
                  <c:v>-35.56302500767287</c:v>
                </c:pt>
                <c:pt idx="42">
                  <c:v>-36.901960800285138</c:v>
                </c:pt>
                <c:pt idx="43">
                  <c:v>-38.061799739838868</c:v>
                </c:pt>
                <c:pt idx="44">
                  <c:v>-39.084850188786497</c:v>
                </c:pt>
                <c:pt idx="45">
                  <c:v>-40</c:v>
                </c:pt>
                <c:pt idx="46">
                  <c:v>-46.020599913279625</c:v>
                </c:pt>
                <c:pt idx="47">
                  <c:v>-49.542425094393252</c:v>
                </c:pt>
                <c:pt idx="48">
                  <c:v>-52.04119982655925</c:v>
                </c:pt>
                <c:pt idx="49">
                  <c:v>-53.979400086720375</c:v>
                </c:pt>
                <c:pt idx="50">
                  <c:v>-55.56302500767287</c:v>
                </c:pt>
                <c:pt idx="51">
                  <c:v>-56.901960800285138</c:v>
                </c:pt>
                <c:pt idx="52">
                  <c:v>-58.061799739838875</c:v>
                </c:pt>
                <c:pt idx="53">
                  <c:v>-59.084850188786497</c:v>
                </c:pt>
                <c:pt idx="54">
                  <c:v>-60</c:v>
                </c:pt>
                <c:pt idx="55">
                  <c:v>-66.020599913279625</c:v>
                </c:pt>
                <c:pt idx="56">
                  <c:v>-69.542425094393252</c:v>
                </c:pt>
                <c:pt idx="57">
                  <c:v>-72.04119982655925</c:v>
                </c:pt>
                <c:pt idx="58">
                  <c:v>-73.979400086720375</c:v>
                </c:pt>
                <c:pt idx="59">
                  <c:v>-75.563025007672863</c:v>
                </c:pt>
                <c:pt idx="60">
                  <c:v>-76.901960800285138</c:v>
                </c:pt>
                <c:pt idx="61">
                  <c:v>-78.061799739838875</c:v>
                </c:pt>
                <c:pt idx="62">
                  <c:v>-79.08485018878649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34-4C94-8801-EA547C8E2734}"/>
            </c:ext>
          </c:extLst>
        </c:ser>
        <c:ser>
          <c:idx val="2"/>
          <c:order val="2"/>
          <c:tx>
            <c:strRef>
              <c:f>'Part-4'!$I$6</c:f>
              <c:strCache>
                <c:ptCount val="1"/>
                <c:pt idx="0">
                  <c:v>Asymptotique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'Part-4'!$C$7:$C$69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'Part-4'!$I$7:$I$69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6.0205999132796242</c:v>
                </c:pt>
                <c:pt idx="20">
                  <c:v>9.5424250943932485</c:v>
                </c:pt>
                <c:pt idx="21">
                  <c:v>12.041199826559248</c:v>
                </c:pt>
                <c:pt idx="22">
                  <c:v>13.979400086720377</c:v>
                </c:pt>
                <c:pt idx="23">
                  <c:v>15.563025007672874</c:v>
                </c:pt>
                <c:pt idx="24">
                  <c:v>16.901960800285135</c:v>
                </c:pt>
                <c:pt idx="25">
                  <c:v>18.061799739838872</c:v>
                </c:pt>
                <c:pt idx="26">
                  <c:v>19.084850188786497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19.999999999999993</c:v>
                </c:pt>
                <c:pt idx="31">
                  <c:v>20</c:v>
                </c:pt>
                <c:pt idx="32">
                  <c:v>19.999999999999996</c:v>
                </c:pt>
                <c:pt idx="33">
                  <c:v>20.000000000000004</c:v>
                </c:pt>
                <c:pt idx="34">
                  <c:v>19.999999999999996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20.000000000000004</c:v>
                </c:pt>
                <c:pt idx="39">
                  <c:v>20.000000000000007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20.000000000000007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19.999999999999993</c:v>
                </c:pt>
                <c:pt idx="51">
                  <c:v>20</c:v>
                </c:pt>
                <c:pt idx="52">
                  <c:v>20</c:v>
                </c:pt>
                <c:pt idx="53">
                  <c:v>19.999999999999993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20.000000000000014</c:v>
                </c:pt>
                <c:pt idx="60">
                  <c:v>20</c:v>
                </c:pt>
                <c:pt idx="61">
                  <c:v>20</c:v>
                </c:pt>
                <c:pt idx="62">
                  <c:v>20.000000000000014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34-4C94-8801-EA547C8E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823912"/>
        <c:axId val="563821944"/>
      </c:scatterChart>
      <c:valAx>
        <c:axId val="5638239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3821944"/>
        <c:crosses val="autoZero"/>
        <c:crossBetween val="midCat"/>
      </c:valAx>
      <c:valAx>
        <c:axId val="56382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3823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'Part-5'!$D$4</c:f>
              <c:strCache>
                <c:ptCount val="1"/>
                <c:pt idx="0">
                  <c:v>Phase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'Part-5'!$C$5:$C$67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'Part-5'!$D$5:$D$67</c:f>
              <c:numCache>
                <c:formatCode>0.0</c:formatCode>
                <c:ptCount val="63"/>
                <c:pt idx="0">
                  <c:v>9.9996666866652376E-3</c:v>
                </c:pt>
                <c:pt idx="1">
                  <c:v>1.9997333973150535E-2</c:v>
                </c:pt>
                <c:pt idx="2">
                  <c:v>2.99910048568779E-2</c:v>
                </c:pt>
                <c:pt idx="3">
                  <c:v>3.9978687123290044E-2</c:v>
                </c:pt>
                <c:pt idx="4">
                  <c:v>4.9958395721942765E-2</c:v>
                </c:pt>
                <c:pt idx="5">
                  <c:v>5.9928155121207881E-2</c:v>
                </c:pt>
                <c:pt idx="6">
                  <c:v>6.9886001634642508E-2</c:v>
                </c:pt>
                <c:pt idx="7">
                  <c:v>7.9829985712237317E-2</c:v>
                </c:pt>
                <c:pt idx="8">
                  <c:v>8.9758174189950524E-2</c:v>
                </c:pt>
                <c:pt idx="9">
                  <c:v>9.9668652491162038E-2</c:v>
                </c:pt>
                <c:pt idx="10">
                  <c:v>0.19739555984988078</c:v>
                </c:pt>
                <c:pt idx="11">
                  <c:v>0.2914567944778671</c:v>
                </c:pt>
                <c:pt idx="12">
                  <c:v>0.3805063771123649</c:v>
                </c:pt>
                <c:pt idx="13">
                  <c:v>0.46364760900080609</c:v>
                </c:pt>
                <c:pt idx="14">
                  <c:v>0.54041950027058416</c:v>
                </c:pt>
                <c:pt idx="15">
                  <c:v>0.61072596438920856</c:v>
                </c:pt>
                <c:pt idx="16">
                  <c:v>0.67474094222355274</c:v>
                </c:pt>
                <c:pt idx="17">
                  <c:v>0.73281510178650655</c:v>
                </c:pt>
                <c:pt idx="18">
                  <c:v>0.78539816339744828</c:v>
                </c:pt>
                <c:pt idx="19">
                  <c:v>1.1071487177940904</c:v>
                </c:pt>
                <c:pt idx="20">
                  <c:v>1.2490457723982544</c:v>
                </c:pt>
                <c:pt idx="21">
                  <c:v>1.3258176636680326</c:v>
                </c:pt>
                <c:pt idx="22">
                  <c:v>1.3734007669450159</c:v>
                </c:pt>
                <c:pt idx="23">
                  <c:v>1.4056476493802699</c:v>
                </c:pt>
                <c:pt idx="24">
                  <c:v>1.4288992721907328</c:v>
                </c:pt>
                <c:pt idx="25">
                  <c:v>1.4464413322481351</c:v>
                </c:pt>
                <c:pt idx="26">
                  <c:v>1.4601391056210009</c:v>
                </c:pt>
                <c:pt idx="27">
                  <c:v>1.4711276743037347</c:v>
                </c:pt>
                <c:pt idx="28">
                  <c:v>1.5208379310729538</c:v>
                </c:pt>
                <c:pt idx="29">
                  <c:v>1.5374753309166493</c:v>
                </c:pt>
                <c:pt idx="30">
                  <c:v>1.5458015331759765</c:v>
                </c:pt>
                <c:pt idx="31">
                  <c:v>1.550798992821746</c:v>
                </c:pt>
                <c:pt idx="32">
                  <c:v>1.554131203080956</c:v>
                </c:pt>
                <c:pt idx="33">
                  <c:v>1.5565115842074999</c:v>
                </c:pt>
                <c:pt idx="34">
                  <c:v>1.5582969777755349</c:v>
                </c:pt>
                <c:pt idx="35">
                  <c:v>1.5596856728972892</c:v>
                </c:pt>
                <c:pt idx="36">
                  <c:v>1.5607966601082315</c:v>
                </c:pt>
                <c:pt idx="37">
                  <c:v>1.5657963684609384</c:v>
                </c:pt>
                <c:pt idx="38">
                  <c:v>1.5674630058071599</c:v>
                </c:pt>
                <c:pt idx="39">
                  <c:v>1.5682963320032104</c:v>
                </c:pt>
                <c:pt idx="40">
                  <c:v>1.5687963294615568</c:v>
                </c:pt>
                <c:pt idx="41">
                  <c:v>1.5691296616714372</c:v>
                </c:pt>
                <c:pt idx="42">
                  <c:v>1.5693677563381414</c:v>
                </c:pt>
                <c:pt idx="43">
                  <c:v>1.5695463274459376</c:v>
                </c:pt>
                <c:pt idx="44">
                  <c:v>1.5696852161410326</c:v>
                </c:pt>
                <c:pt idx="45">
                  <c:v>1.5697963271282298</c:v>
                </c:pt>
                <c:pt idx="46">
                  <c:v>1.5702963268365633</c:v>
                </c:pt>
                <c:pt idx="47">
                  <c:v>1.5704629934739089</c:v>
                </c:pt>
                <c:pt idx="48">
                  <c:v>1.570546326800105</c:v>
                </c:pt>
                <c:pt idx="49">
                  <c:v>1.5705963267975633</c:v>
                </c:pt>
                <c:pt idx="50">
                  <c:v>1.5706296601297731</c:v>
                </c:pt>
                <c:pt idx="51">
                  <c:v>1.5706534696530112</c:v>
                </c:pt>
                <c:pt idx="52">
                  <c:v>1.5706713267955477</c:v>
                </c:pt>
                <c:pt idx="53">
                  <c:v>1.5706852156842428</c:v>
                </c:pt>
                <c:pt idx="54">
                  <c:v>1.5706963267952299</c:v>
                </c:pt>
                <c:pt idx="55">
                  <c:v>1.5707463267949382</c:v>
                </c:pt>
                <c:pt idx="56">
                  <c:v>1.5707629934615757</c:v>
                </c:pt>
                <c:pt idx="57">
                  <c:v>1.5707713267949017</c:v>
                </c:pt>
                <c:pt idx="58">
                  <c:v>1.5707763267948993</c:v>
                </c:pt>
                <c:pt idx="59">
                  <c:v>1.5707796601282316</c:v>
                </c:pt>
                <c:pt idx="60">
                  <c:v>1.5707820410806119</c:v>
                </c:pt>
                <c:pt idx="61">
                  <c:v>1.5707838267948973</c:v>
                </c:pt>
                <c:pt idx="62">
                  <c:v>1.570785215683786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27-4256-B1C7-C6F9F5432C3D}"/>
            </c:ext>
          </c:extLst>
        </c:ser>
        <c:ser>
          <c:idx val="1"/>
          <c:order val="1"/>
          <c:tx>
            <c:strRef>
              <c:f>'Part-5'!$E$4</c:f>
              <c:strCache>
                <c:ptCount val="1"/>
                <c:pt idx="0">
                  <c:v>Phase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'Part-5'!$C$5:$C$67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'Part-5'!$E$5:$E$67</c:f>
              <c:numCache>
                <c:formatCode>0.0</c:formatCode>
                <c:ptCount val="63"/>
                <c:pt idx="0">
                  <c:v>-9.9999966666686679E-4</c:v>
                </c:pt>
                <c:pt idx="1">
                  <c:v>-1.9999973333397333E-3</c:v>
                </c:pt>
                <c:pt idx="2">
                  <c:v>-2.9999910000485996E-3</c:v>
                </c:pt>
                <c:pt idx="3">
                  <c:v>-3.9999786668714647E-3</c:v>
                </c:pt>
                <c:pt idx="4">
                  <c:v>-4.9999583339583225E-3</c:v>
                </c:pt>
                <c:pt idx="5">
                  <c:v>-5.9999280015551604E-3</c:v>
                </c:pt>
                <c:pt idx="6">
                  <c:v>-6.9998856700279489E-3</c:v>
                </c:pt>
                <c:pt idx="7">
                  <c:v>-7.9998293398866344E-3</c:v>
                </c:pt>
                <c:pt idx="8">
                  <c:v>-8.9997570118091168E-3</c:v>
                </c:pt>
                <c:pt idx="9">
                  <c:v>-9.9996666866652376E-3</c:v>
                </c:pt>
                <c:pt idx="10">
                  <c:v>-1.9997333973150535E-2</c:v>
                </c:pt>
                <c:pt idx="11">
                  <c:v>-2.99910048568779E-2</c:v>
                </c:pt>
                <c:pt idx="12">
                  <c:v>-3.9978687123290044E-2</c:v>
                </c:pt>
                <c:pt idx="13">
                  <c:v>-4.9958395721942765E-2</c:v>
                </c:pt>
                <c:pt idx="14">
                  <c:v>-5.9928155121207881E-2</c:v>
                </c:pt>
                <c:pt idx="15">
                  <c:v>-6.9886001634642508E-2</c:v>
                </c:pt>
                <c:pt idx="16">
                  <c:v>-7.9829985712237317E-2</c:v>
                </c:pt>
                <c:pt idx="17">
                  <c:v>-8.9758174189950524E-2</c:v>
                </c:pt>
                <c:pt idx="18">
                  <c:v>-9.9668652491162038E-2</c:v>
                </c:pt>
                <c:pt idx="19">
                  <c:v>-0.19739555984988078</c:v>
                </c:pt>
                <c:pt idx="20">
                  <c:v>-0.2914567944778671</c:v>
                </c:pt>
                <c:pt idx="21">
                  <c:v>-0.3805063771123649</c:v>
                </c:pt>
                <c:pt idx="22">
                  <c:v>-0.46364760900080609</c:v>
                </c:pt>
                <c:pt idx="23">
                  <c:v>-0.54041950027058416</c:v>
                </c:pt>
                <c:pt idx="24">
                  <c:v>-0.61072596438920856</c:v>
                </c:pt>
                <c:pt idx="25">
                  <c:v>-0.67474094222355274</c:v>
                </c:pt>
                <c:pt idx="26">
                  <c:v>-0.73281510178650655</c:v>
                </c:pt>
                <c:pt idx="27">
                  <c:v>-0.78539816339744828</c:v>
                </c:pt>
                <c:pt idx="28">
                  <c:v>-1.1071487177940904</c:v>
                </c:pt>
                <c:pt idx="29">
                  <c:v>-1.2490457723982544</c:v>
                </c:pt>
                <c:pt idx="30">
                  <c:v>-1.3258176636680326</c:v>
                </c:pt>
                <c:pt idx="31">
                  <c:v>-1.3734007669450159</c:v>
                </c:pt>
                <c:pt idx="32">
                  <c:v>-1.4056476493802699</c:v>
                </c:pt>
                <c:pt idx="33">
                  <c:v>-1.4288992721907328</c:v>
                </c:pt>
                <c:pt idx="34">
                  <c:v>-1.4464413322481351</c:v>
                </c:pt>
                <c:pt idx="35">
                  <c:v>-1.4601391056210009</c:v>
                </c:pt>
                <c:pt idx="36">
                  <c:v>-1.4711276743037347</c:v>
                </c:pt>
                <c:pt idx="37">
                  <c:v>-1.5208379310729538</c:v>
                </c:pt>
                <c:pt idx="38">
                  <c:v>-1.5374753309166493</c:v>
                </c:pt>
                <c:pt idx="39">
                  <c:v>-1.5458015331759765</c:v>
                </c:pt>
                <c:pt idx="40">
                  <c:v>-1.550798992821746</c:v>
                </c:pt>
                <c:pt idx="41">
                  <c:v>-1.554131203080956</c:v>
                </c:pt>
                <c:pt idx="42">
                  <c:v>-1.5565115842074999</c:v>
                </c:pt>
                <c:pt idx="43">
                  <c:v>-1.5582969777755349</c:v>
                </c:pt>
                <c:pt idx="44">
                  <c:v>-1.5596856728972892</c:v>
                </c:pt>
                <c:pt idx="45">
                  <c:v>-1.5607966601082315</c:v>
                </c:pt>
                <c:pt idx="46">
                  <c:v>-1.5657963684609384</c:v>
                </c:pt>
                <c:pt idx="47">
                  <c:v>-1.5674630058071599</c:v>
                </c:pt>
                <c:pt idx="48">
                  <c:v>-1.5682963320032104</c:v>
                </c:pt>
                <c:pt idx="49">
                  <c:v>-1.5687963294615568</c:v>
                </c:pt>
                <c:pt idx="50">
                  <c:v>-1.5691296616714372</c:v>
                </c:pt>
                <c:pt idx="51">
                  <c:v>-1.5693677563381414</c:v>
                </c:pt>
                <c:pt idx="52">
                  <c:v>-1.5695463274459376</c:v>
                </c:pt>
                <c:pt idx="53">
                  <c:v>-1.5696852161410326</c:v>
                </c:pt>
                <c:pt idx="54">
                  <c:v>-1.5697963271282298</c:v>
                </c:pt>
                <c:pt idx="55">
                  <c:v>-1.5702963268365633</c:v>
                </c:pt>
                <c:pt idx="56">
                  <c:v>-1.5704629934739089</c:v>
                </c:pt>
                <c:pt idx="57">
                  <c:v>-1.570546326800105</c:v>
                </c:pt>
                <c:pt idx="58">
                  <c:v>-1.5705963267975633</c:v>
                </c:pt>
                <c:pt idx="59">
                  <c:v>-1.5706296601297731</c:v>
                </c:pt>
                <c:pt idx="60">
                  <c:v>-1.5706534696530112</c:v>
                </c:pt>
                <c:pt idx="61">
                  <c:v>-1.5706713267955477</c:v>
                </c:pt>
                <c:pt idx="62">
                  <c:v>-1.5706852156842428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27-4256-B1C7-C6F9F5432C3D}"/>
            </c:ext>
          </c:extLst>
        </c:ser>
        <c:ser>
          <c:idx val="2"/>
          <c:order val="2"/>
          <c:tx>
            <c:strRef>
              <c:f>'Part-5'!$F$4</c:f>
              <c:strCache>
                <c:ptCount val="1"/>
                <c:pt idx="0">
                  <c:v>Phase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'Part-5'!$C$5:$C$67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'Part-5'!$F$5:$F$67</c:f>
              <c:numCache>
                <c:formatCode>0.0</c:formatCode>
                <c:ptCount val="63"/>
                <c:pt idx="0">
                  <c:v>8.9996670199983704E-3</c:v>
                </c:pt>
                <c:pt idx="1">
                  <c:v>1.7997336639810801E-2</c:v>
                </c:pt>
                <c:pt idx="2">
                  <c:v>2.69910138568293E-2</c:v>
                </c:pt>
                <c:pt idx="3">
                  <c:v>3.5978708456418582E-2</c:v>
                </c:pt>
                <c:pt idx="4">
                  <c:v>4.495843738798444E-2</c:v>
                </c:pt>
                <c:pt idx="5">
                  <c:v>5.392822711965272E-2</c:v>
                </c:pt>
                <c:pt idx="6">
                  <c:v>6.2886115964614561E-2</c:v>
                </c:pt>
                <c:pt idx="7">
                  <c:v>7.1830156372350684E-2</c:v>
                </c:pt>
                <c:pt idx="8">
                  <c:v>8.0758417178141403E-2</c:v>
                </c:pt>
                <c:pt idx="9">
                  <c:v>8.9668985804496795E-2</c:v>
                </c:pt>
                <c:pt idx="10">
                  <c:v>0.17739822587673024</c:v>
                </c:pt>
                <c:pt idx="11">
                  <c:v>0.26146578962098921</c:v>
                </c:pt>
                <c:pt idx="12">
                  <c:v>0.34052768998907484</c:v>
                </c:pt>
                <c:pt idx="13">
                  <c:v>0.41368921327886332</c:v>
                </c:pt>
                <c:pt idx="14">
                  <c:v>0.4804913451493763</c:v>
                </c:pt>
                <c:pt idx="15">
                  <c:v>0.54083996275456603</c:v>
                </c:pt>
                <c:pt idx="16">
                  <c:v>0.59491095651131543</c:v>
                </c:pt>
                <c:pt idx="17">
                  <c:v>0.64305692759655608</c:v>
                </c:pt>
                <c:pt idx="18">
                  <c:v>0.6857295109062862</c:v>
                </c:pt>
                <c:pt idx="19">
                  <c:v>0.90975315794420963</c:v>
                </c:pt>
                <c:pt idx="20">
                  <c:v>0.95758897792038733</c:v>
                </c:pt>
                <c:pt idx="21">
                  <c:v>0.94531128655566765</c:v>
                </c:pt>
                <c:pt idx="22">
                  <c:v>0.90975315794420974</c:v>
                </c:pt>
                <c:pt idx="23">
                  <c:v>0.86522814910968571</c:v>
                </c:pt>
                <c:pt idx="24">
                  <c:v>0.8181733078015242</c:v>
                </c:pt>
                <c:pt idx="25">
                  <c:v>0.77170039002458235</c:v>
                </c:pt>
                <c:pt idx="26">
                  <c:v>0.72732400383449436</c:v>
                </c:pt>
                <c:pt idx="27">
                  <c:v>0.68572951090628642</c:v>
                </c:pt>
                <c:pt idx="28">
                  <c:v>0.41368921327886343</c:v>
                </c:pt>
                <c:pt idx="29">
                  <c:v>0.28842955851839491</c:v>
                </c:pt>
                <c:pt idx="30">
                  <c:v>0.21998386950794391</c:v>
                </c:pt>
                <c:pt idx="31">
                  <c:v>0.17739822587673015</c:v>
                </c:pt>
                <c:pt idx="32">
                  <c:v>0.14848355370068611</c:v>
                </c:pt>
                <c:pt idx="33">
                  <c:v>0.12761231201676715</c:v>
                </c:pt>
                <c:pt idx="34">
                  <c:v>0.11185564552739979</c:v>
                </c:pt>
                <c:pt idx="35">
                  <c:v>9.95465672762883E-2</c:v>
                </c:pt>
                <c:pt idx="36">
                  <c:v>8.9668985804496781E-2</c:v>
                </c:pt>
                <c:pt idx="37">
                  <c:v>4.4958437387984551E-2</c:v>
                </c:pt>
                <c:pt idx="38">
                  <c:v>2.9987674890510574E-2</c:v>
                </c:pt>
                <c:pt idx="39">
                  <c:v>2.2494798827233931E-2</c:v>
                </c:pt>
                <c:pt idx="40">
                  <c:v>1.7997336639810735E-2</c:v>
                </c:pt>
                <c:pt idx="41">
                  <c:v>1.4998458590481212E-2</c:v>
                </c:pt>
                <c:pt idx="42">
                  <c:v>1.2856172130641497E-2</c:v>
                </c:pt>
                <c:pt idx="43">
                  <c:v>1.1249349670402697E-2</c:v>
                </c:pt>
                <c:pt idx="44">
                  <c:v>9.999543243743414E-3</c:v>
                </c:pt>
                <c:pt idx="45">
                  <c:v>8.9996670199983253E-3</c:v>
                </c:pt>
                <c:pt idx="46">
                  <c:v>4.4999583756248906E-3</c:v>
                </c:pt>
                <c:pt idx="47">
                  <c:v>2.9999876667490266E-3</c:v>
                </c:pt>
                <c:pt idx="48">
                  <c:v>2.2499947968945833E-3</c:v>
                </c:pt>
                <c:pt idx="49">
                  <c:v>1.7999973360065535E-3</c:v>
                </c:pt>
                <c:pt idx="50">
                  <c:v>1.4999984583359272E-3</c:v>
                </c:pt>
                <c:pt idx="51">
                  <c:v>1.2857133148698185E-3</c:v>
                </c:pt>
                <c:pt idx="52">
                  <c:v>1.1249993496100785E-3</c:v>
                </c:pt>
                <c:pt idx="53">
                  <c:v>9.999995432101727E-4</c:v>
                </c:pt>
                <c:pt idx="54">
                  <c:v>8.9999966700005096E-4</c:v>
                </c:pt>
                <c:pt idx="55">
                  <c:v>4.4999995837491369E-4</c:v>
                </c:pt>
                <c:pt idx="56">
                  <c:v>2.9999998766672142E-4</c:v>
                </c:pt>
                <c:pt idx="57">
                  <c:v>2.2499999479674848E-4</c:v>
                </c:pt>
                <c:pt idx="58">
                  <c:v>1.7999999733597782E-4</c:v>
                </c:pt>
                <c:pt idx="59">
                  <c:v>1.4999999845843881E-4</c:v>
                </c:pt>
                <c:pt idx="60">
                  <c:v>1.2857142760069884E-4</c:v>
                </c:pt>
                <c:pt idx="61">
                  <c:v>1.1249999934959121E-4</c:v>
                </c:pt>
                <c:pt idx="62">
                  <c:v>9.9999999543243234E-5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27-4256-B1C7-C6F9F543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339848"/>
        <c:axId val="558333944"/>
      </c:scatterChart>
      <c:valAx>
        <c:axId val="5583398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8333944"/>
        <c:crosses val="autoZero"/>
        <c:crossBetween val="midCat"/>
      </c:valAx>
      <c:valAx>
        <c:axId val="55833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8339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'Part-5'!$G$4</c:f>
              <c:strCache>
                <c:ptCount val="1"/>
                <c:pt idx="0">
                  <c:v>Asymptotique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'Part-5'!$C$5:$C$67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'Part-5'!$G$5:$G$67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1.5707963267948966</c:v>
                </c:pt>
                <c:pt idx="19">
                  <c:v>1.5707963267948966</c:v>
                </c:pt>
                <c:pt idx="20">
                  <c:v>1.5707963267948966</c:v>
                </c:pt>
                <c:pt idx="21">
                  <c:v>1.5707963267948966</c:v>
                </c:pt>
                <c:pt idx="22">
                  <c:v>1.5707963267948966</c:v>
                </c:pt>
                <c:pt idx="23">
                  <c:v>1.5707963267948966</c:v>
                </c:pt>
                <c:pt idx="24">
                  <c:v>1.5707963267948966</c:v>
                </c:pt>
                <c:pt idx="25">
                  <c:v>1.5707963267948966</c:v>
                </c:pt>
                <c:pt idx="26">
                  <c:v>1.5707963267948966</c:v>
                </c:pt>
                <c:pt idx="27">
                  <c:v>1.5707963267948966</c:v>
                </c:pt>
                <c:pt idx="28">
                  <c:v>1.5707963267948966</c:v>
                </c:pt>
                <c:pt idx="29">
                  <c:v>1.5707963267948966</c:v>
                </c:pt>
                <c:pt idx="30">
                  <c:v>1.5707963267948966</c:v>
                </c:pt>
                <c:pt idx="31">
                  <c:v>1.5707963267948966</c:v>
                </c:pt>
                <c:pt idx="32">
                  <c:v>1.5707963267948966</c:v>
                </c:pt>
                <c:pt idx="33">
                  <c:v>1.5707963267948966</c:v>
                </c:pt>
                <c:pt idx="34">
                  <c:v>1.5707963267948966</c:v>
                </c:pt>
                <c:pt idx="35">
                  <c:v>1.5707963267948966</c:v>
                </c:pt>
                <c:pt idx="36">
                  <c:v>1.5707963267948966</c:v>
                </c:pt>
                <c:pt idx="37">
                  <c:v>1.5707963267948966</c:v>
                </c:pt>
                <c:pt idx="38">
                  <c:v>1.5707963267948966</c:v>
                </c:pt>
                <c:pt idx="39">
                  <c:v>1.5707963267948966</c:v>
                </c:pt>
                <c:pt idx="40">
                  <c:v>1.5707963267948966</c:v>
                </c:pt>
                <c:pt idx="41">
                  <c:v>1.5707963267948966</c:v>
                </c:pt>
                <c:pt idx="42">
                  <c:v>1.5707963267948966</c:v>
                </c:pt>
                <c:pt idx="43">
                  <c:v>1.5707963267948966</c:v>
                </c:pt>
                <c:pt idx="44">
                  <c:v>1.5707963267948966</c:v>
                </c:pt>
                <c:pt idx="45">
                  <c:v>1.5707963267948966</c:v>
                </c:pt>
                <c:pt idx="46">
                  <c:v>1.5707963267948966</c:v>
                </c:pt>
                <c:pt idx="47">
                  <c:v>1.5707963267948966</c:v>
                </c:pt>
                <c:pt idx="48">
                  <c:v>1.5707963267948966</c:v>
                </c:pt>
                <c:pt idx="49">
                  <c:v>1.5707963267948966</c:v>
                </c:pt>
                <c:pt idx="50">
                  <c:v>1.5707963267948966</c:v>
                </c:pt>
                <c:pt idx="51">
                  <c:v>1.5707963267948966</c:v>
                </c:pt>
                <c:pt idx="52">
                  <c:v>1.5707963267948966</c:v>
                </c:pt>
                <c:pt idx="53">
                  <c:v>1.5707963267948966</c:v>
                </c:pt>
                <c:pt idx="54">
                  <c:v>1.5707963267948966</c:v>
                </c:pt>
                <c:pt idx="55">
                  <c:v>1.5707963267948966</c:v>
                </c:pt>
                <c:pt idx="56">
                  <c:v>1.5707963267948966</c:v>
                </c:pt>
                <c:pt idx="57">
                  <c:v>1.5707963267948966</c:v>
                </c:pt>
                <c:pt idx="58">
                  <c:v>1.5707963267948966</c:v>
                </c:pt>
                <c:pt idx="59">
                  <c:v>1.5707963267948966</c:v>
                </c:pt>
                <c:pt idx="60">
                  <c:v>1.5707963267948966</c:v>
                </c:pt>
                <c:pt idx="61">
                  <c:v>1.5707963267948966</c:v>
                </c:pt>
                <c:pt idx="62">
                  <c:v>1.5707963267948966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62-400B-AAFE-DC42602E162C}"/>
            </c:ext>
          </c:extLst>
        </c:ser>
        <c:ser>
          <c:idx val="1"/>
          <c:order val="1"/>
          <c:tx>
            <c:strRef>
              <c:f>'Part-5'!$H$4</c:f>
              <c:strCache>
                <c:ptCount val="1"/>
                <c:pt idx="0">
                  <c:v>Asymptotique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'Part-5'!$C$5:$C$67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'Part-5'!$H$5:$H$67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-1.5707963267948966</c:v>
                </c:pt>
                <c:pt idx="28">
                  <c:v>-1.5707963267948966</c:v>
                </c:pt>
                <c:pt idx="29">
                  <c:v>-1.5707963267948966</c:v>
                </c:pt>
                <c:pt idx="30">
                  <c:v>-1.5707963267948966</c:v>
                </c:pt>
                <c:pt idx="31">
                  <c:v>-1.5707963267948966</c:v>
                </c:pt>
                <c:pt idx="32">
                  <c:v>-1.5707963267948966</c:v>
                </c:pt>
                <c:pt idx="33">
                  <c:v>-1.5707963267948966</c:v>
                </c:pt>
                <c:pt idx="34">
                  <c:v>-1.5707963267948966</c:v>
                </c:pt>
                <c:pt idx="35">
                  <c:v>-1.5707963267948966</c:v>
                </c:pt>
                <c:pt idx="36">
                  <c:v>-1.5707963267948966</c:v>
                </c:pt>
                <c:pt idx="37">
                  <c:v>-1.5707963267948966</c:v>
                </c:pt>
                <c:pt idx="38">
                  <c:v>-1.5707963267948966</c:v>
                </c:pt>
                <c:pt idx="39">
                  <c:v>-1.5707963267948966</c:v>
                </c:pt>
                <c:pt idx="40">
                  <c:v>-1.5707963267948966</c:v>
                </c:pt>
                <c:pt idx="41">
                  <c:v>-1.5707963267948966</c:v>
                </c:pt>
                <c:pt idx="42">
                  <c:v>-1.5707963267948966</c:v>
                </c:pt>
                <c:pt idx="43">
                  <c:v>-1.5707963267948966</c:v>
                </c:pt>
                <c:pt idx="44">
                  <c:v>-1.5707963267948966</c:v>
                </c:pt>
                <c:pt idx="45">
                  <c:v>-1.5707963267948966</c:v>
                </c:pt>
                <c:pt idx="46">
                  <c:v>-1.5707963267948966</c:v>
                </c:pt>
                <c:pt idx="47">
                  <c:v>-1.5707963267948966</c:v>
                </c:pt>
                <c:pt idx="48">
                  <c:v>-1.5707963267948966</c:v>
                </c:pt>
                <c:pt idx="49">
                  <c:v>-1.5707963267948966</c:v>
                </c:pt>
                <c:pt idx="50">
                  <c:v>-1.5707963267948966</c:v>
                </c:pt>
                <c:pt idx="51">
                  <c:v>-1.5707963267948966</c:v>
                </c:pt>
                <c:pt idx="52">
                  <c:v>-1.5707963267948966</c:v>
                </c:pt>
                <c:pt idx="53">
                  <c:v>-1.5707963267948966</c:v>
                </c:pt>
                <c:pt idx="54">
                  <c:v>-1.5707963267948966</c:v>
                </c:pt>
                <c:pt idx="55">
                  <c:v>-1.5707963267948966</c:v>
                </c:pt>
                <c:pt idx="56">
                  <c:v>-1.5707963267948966</c:v>
                </c:pt>
                <c:pt idx="57">
                  <c:v>-1.5707963267948966</c:v>
                </c:pt>
                <c:pt idx="58">
                  <c:v>-1.5707963267948966</c:v>
                </c:pt>
                <c:pt idx="59">
                  <c:v>-1.5707963267948966</c:v>
                </c:pt>
                <c:pt idx="60">
                  <c:v>-1.5707963267948966</c:v>
                </c:pt>
                <c:pt idx="61">
                  <c:v>-1.5707963267948966</c:v>
                </c:pt>
                <c:pt idx="62">
                  <c:v>-1.5707963267948966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62-400B-AAFE-DC42602E162C}"/>
            </c:ext>
          </c:extLst>
        </c:ser>
        <c:ser>
          <c:idx val="2"/>
          <c:order val="2"/>
          <c:tx>
            <c:strRef>
              <c:f>'Part-5'!$I$4</c:f>
              <c:strCache>
                <c:ptCount val="1"/>
                <c:pt idx="0">
                  <c:v>Asymptotique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'Part-5'!$C$5:$C$67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  <c:pt idx="55">
                  <c:v>2000000</c:v>
                </c:pt>
                <c:pt idx="56">
                  <c:v>3000000</c:v>
                </c:pt>
                <c:pt idx="57">
                  <c:v>4000000</c:v>
                </c:pt>
                <c:pt idx="58">
                  <c:v>5000000</c:v>
                </c:pt>
                <c:pt idx="59">
                  <c:v>6000000</c:v>
                </c:pt>
                <c:pt idx="60">
                  <c:v>7000000</c:v>
                </c:pt>
                <c:pt idx="61">
                  <c:v>8000000</c:v>
                </c:pt>
                <c:pt idx="62">
                  <c:v>9000000</c:v>
                </c:pt>
              </c:numCache>
            </c:numRef>
          </c:xVal>
          <c:yVal>
            <c:numRef>
              <c:f>'Part-5'!$I$5:$I$67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1.5707963267948966</c:v>
                </c:pt>
                <c:pt idx="19">
                  <c:v>1.5707963267948966</c:v>
                </c:pt>
                <c:pt idx="20">
                  <c:v>1.5707963267948966</c:v>
                </c:pt>
                <c:pt idx="21">
                  <c:v>1.5707963267948966</c:v>
                </c:pt>
                <c:pt idx="22">
                  <c:v>1.5707963267948966</c:v>
                </c:pt>
                <c:pt idx="23">
                  <c:v>1.5707963267948966</c:v>
                </c:pt>
                <c:pt idx="24">
                  <c:v>1.5707963267948966</c:v>
                </c:pt>
                <c:pt idx="25">
                  <c:v>1.5707963267948966</c:v>
                </c:pt>
                <c:pt idx="26">
                  <c:v>1.5707963267948966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62-400B-AAFE-DC42602E1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823432"/>
        <c:axId val="518838848"/>
      </c:scatterChart>
      <c:valAx>
        <c:axId val="5188234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8838848"/>
        <c:crosses val="autoZero"/>
        <c:crossBetween val="midCat"/>
      </c:valAx>
      <c:valAx>
        <c:axId val="51883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8823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'Part-7'!$G$3</c:f>
              <c:strCache>
                <c:ptCount val="1"/>
                <c:pt idx="0">
                  <c:v>Yn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'Part-7'!$F$4:$F$1500</c:f>
              <c:numCache>
                <c:formatCode>General</c:formatCode>
                <c:ptCount val="149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</c:numCache>
            </c:numRef>
          </c:xVal>
          <c:yVal>
            <c:numRef>
              <c:f>'Part-7'!$G$4:$G$1500</c:f>
              <c:numCache>
                <c:formatCode>General</c:formatCode>
                <c:ptCount val="1497"/>
                <c:pt idx="0">
                  <c:v>0</c:v>
                </c:pt>
                <c:pt idx="1">
                  <c:v>0.02</c:v>
                </c:pt>
                <c:pt idx="2">
                  <c:v>4.02E-2</c:v>
                </c:pt>
                <c:pt idx="3">
                  <c:v>6.0602000000000003E-2</c:v>
                </c:pt>
                <c:pt idx="4">
                  <c:v>8.1208020000000006E-2</c:v>
                </c:pt>
                <c:pt idx="5">
                  <c:v>0.10202010020000001</c:v>
                </c:pt>
                <c:pt idx="6">
                  <c:v>0.123040301202</c:v>
                </c:pt>
                <c:pt idx="7">
                  <c:v>0.14427070421402</c:v>
                </c:pt>
                <c:pt idx="8">
                  <c:v>0.16571341125616018</c:v>
                </c:pt>
                <c:pt idx="9">
                  <c:v>0.18737054536872177</c:v>
                </c:pt>
                <c:pt idx="10">
                  <c:v>0.20924425082240899</c:v>
                </c:pt>
                <c:pt idx="11">
                  <c:v>0.23133669333063309</c:v>
                </c:pt>
                <c:pt idx="12">
                  <c:v>0.25365006026393944</c:v>
                </c:pt>
                <c:pt idx="13">
                  <c:v>0.27618656086657883</c:v>
                </c:pt>
                <c:pt idx="14">
                  <c:v>0.29894842647524467</c:v>
                </c:pt>
                <c:pt idx="15">
                  <c:v>0.32193791073999711</c:v>
                </c:pt>
                <c:pt idx="16">
                  <c:v>0.34515728984739713</c:v>
                </c:pt>
                <c:pt idx="17">
                  <c:v>0.36860886274587112</c:v>
                </c:pt>
                <c:pt idx="18">
                  <c:v>0.39229495137332987</c:v>
                </c:pt>
                <c:pt idx="19">
                  <c:v>0.41621790088706317</c:v>
                </c:pt>
                <c:pt idx="20">
                  <c:v>0.44038007989593381</c:v>
                </c:pt>
                <c:pt idx="21">
                  <c:v>0.46478388069489318</c:v>
                </c:pt>
                <c:pt idx="22">
                  <c:v>0.48943171950184211</c:v>
                </c:pt>
                <c:pt idx="23">
                  <c:v>0.5143260366968605</c:v>
                </c:pt>
                <c:pt idx="24">
                  <c:v>0.53946929706382918</c:v>
                </c:pt>
                <c:pt idx="25">
                  <c:v>0.56486399003446752</c:v>
                </c:pt>
                <c:pt idx="26">
                  <c:v>0.59051262993481224</c:v>
                </c:pt>
                <c:pt idx="27">
                  <c:v>0.6164177562341604</c:v>
                </c:pt>
                <c:pt idx="28">
                  <c:v>0.64258193379650197</c:v>
                </c:pt>
                <c:pt idx="29">
                  <c:v>0.66900775313446703</c:v>
                </c:pt>
                <c:pt idx="30">
                  <c:v>0.6956978306658117</c:v>
                </c:pt>
                <c:pt idx="31">
                  <c:v>0.72265480897246981</c:v>
                </c:pt>
                <c:pt idx="32">
                  <c:v>0.7498813570621945</c:v>
                </c:pt>
                <c:pt idx="33">
                  <c:v>0.7773801706328165</c:v>
                </c:pt>
                <c:pt idx="34">
                  <c:v>0.80515397233914465</c:v>
                </c:pt>
                <c:pt idx="35">
                  <c:v>0.83320551206253612</c:v>
                </c:pt>
                <c:pt idx="36">
                  <c:v>0.86153756718316155</c:v>
                </c:pt>
                <c:pt idx="37">
                  <c:v>0.89015294285499313</c:v>
                </c:pt>
                <c:pt idx="38">
                  <c:v>0.91905447228354309</c:v>
                </c:pt>
                <c:pt idx="39">
                  <c:v>0.94824501700637853</c:v>
                </c:pt>
                <c:pt idx="40">
                  <c:v>0.97772746717644232</c:v>
                </c:pt>
                <c:pt idx="41">
                  <c:v>1.0075047418482068</c:v>
                </c:pt>
                <c:pt idx="42">
                  <c:v>1.0375797892666889</c:v>
                </c:pt>
                <c:pt idx="43">
                  <c:v>1.0679555871593558</c:v>
                </c:pt>
                <c:pt idx="44">
                  <c:v>1.0986351430309493</c:v>
                </c:pt>
                <c:pt idx="45">
                  <c:v>1.1296214944612588</c:v>
                </c:pt>
                <c:pt idx="46">
                  <c:v>1.1609177094058714</c:v>
                </c:pt>
                <c:pt idx="47">
                  <c:v>1.1925268864999301</c:v>
                </c:pt>
                <c:pt idx="48">
                  <c:v>1.2244521553649295</c:v>
                </c:pt>
                <c:pt idx="49">
                  <c:v>1.2566966769185788</c:v>
                </c:pt>
                <c:pt idx="50">
                  <c:v>1.2892636436877647</c:v>
                </c:pt>
                <c:pt idx="51">
                  <c:v>1.3221562801246425</c:v>
                </c:pt>
                <c:pt idx="52">
                  <c:v>1.3553778429258889</c:v>
                </c:pt>
                <c:pt idx="53">
                  <c:v>1.3889316213551479</c:v>
                </c:pt>
                <c:pt idx="54">
                  <c:v>1.4228209375686993</c:v>
                </c:pt>
                <c:pt idx="55">
                  <c:v>1.4570491469443863</c:v>
                </c:pt>
                <c:pt idx="56">
                  <c:v>1.4916196384138301</c:v>
                </c:pt>
                <c:pt idx="57">
                  <c:v>1.5265358347979683</c:v>
                </c:pt>
                <c:pt idx="58">
                  <c:v>1.5618011931459479</c:v>
                </c:pt>
                <c:pt idx="59">
                  <c:v>1.5974192050774074</c:v>
                </c:pt>
                <c:pt idx="60">
                  <c:v>1.6333933971281815</c:v>
                </c:pt>
                <c:pt idx="61">
                  <c:v>1.6697273310994634</c:v>
                </c:pt>
                <c:pt idx="62">
                  <c:v>1.7064246044104581</c:v>
                </c:pt>
                <c:pt idx="63">
                  <c:v>1.7434888504545627</c:v>
                </c:pt>
                <c:pt idx="64">
                  <c:v>1.7809237389591084</c:v>
                </c:pt>
                <c:pt idx="65">
                  <c:v>1.8187329763486995</c:v>
                </c:pt>
                <c:pt idx="66">
                  <c:v>1.8569203061121864</c:v>
                </c:pt>
                <c:pt idx="67">
                  <c:v>1.8954895091733084</c:v>
                </c:pt>
                <c:pt idx="68">
                  <c:v>1.9344444042650415</c:v>
                </c:pt>
                <c:pt idx="69">
                  <c:v>1.973788848307692</c:v>
                </c:pt>
                <c:pt idx="70">
                  <c:v>2.013526736790769</c:v>
                </c:pt>
                <c:pt idx="71">
                  <c:v>2.0536620041586766</c:v>
                </c:pt>
                <c:pt idx="72">
                  <c:v>2.0941986242002635</c:v>
                </c:pt>
                <c:pt idx="73">
                  <c:v>2.1351406104422663</c:v>
                </c:pt>
                <c:pt idx="74">
                  <c:v>2.176492016546689</c:v>
                </c:pt>
                <c:pt idx="75">
                  <c:v>2.2182569367121561</c:v>
                </c:pt>
                <c:pt idx="76">
                  <c:v>2.2604395060792775</c:v>
                </c:pt>
                <c:pt idx="77">
                  <c:v>2.3030439011400703</c:v>
                </c:pt>
                <c:pt idx="78">
                  <c:v>2.3460743401514712</c:v>
                </c:pt>
                <c:pt idx="79">
                  <c:v>2.3895350835529858</c:v>
                </c:pt>
                <c:pt idx="80">
                  <c:v>2.4334304343885158</c:v>
                </c:pt>
                <c:pt idx="81">
                  <c:v>2.4777647387324011</c:v>
                </c:pt>
                <c:pt idx="82">
                  <c:v>2.5225423861197251</c:v>
                </c:pt>
                <c:pt idx="83">
                  <c:v>2.5677678099809222</c:v>
                </c:pt>
                <c:pt idx="84">
                  <c:v>2.6134454880807314</c:v>
                </c:pt>
                <c:pt idx="85">
                  <c:v>2.6595799429615385</c:v>
                </c:pt>
                <c:pt idx="86">
                  <c:v>2.7061757423911539</c:v>
                </c:pt>
                <c:pt idx="87">
                  <c:v>2.7532374998150653</c:v>
                </c:pt>
                <c:pt idx="88">
                  <c:v>2.8007698748132159</c:v>
                </c:pt>
                <c:pt idx="89">
                  <c:v>2.8487775735613483</c:v>
                </c:pt>
                <c:pt idx="90">
                  <c:v>2.897265349296962</c:v>
                </c:pt>
                <c:pt idx="91">
                  <c:v>2.9462380027899315</c:v>
                </c:pt>
                <c:pt idx="92">
                  <c:v>2.995700382817831</c:v>
                </c:pt>
                <c:pt idx="93">
                  <c:v>3.0456573866460093</c:v>
                </c:pt>
                <c:pt idx="94">
                  <c:v>3.0961139605124695</c:v>
                </c:pt>
                <c:pt idx="95">
                  <c:v>3.1470751001175943</c:v>
                </c:pt>
                <c:pt idx="96">
                  <c:v>3.1985458511187703</c:v>
                </c:pt>
                <c:pt idx="97">
                  <c:v>3.2505313096299582</c:v>
                </c:pt>
                <c:pt idx="98">
                  <c:v>3.3030366227262578</c:v>
                </c:pt>
                <c:pt idx="99">
                  <c:v>3.3560669889535202</c:v>
                </c:pt>
                <c:pt idx="100">
                  <c:v>3.4096276588430556</c:v>
                </c:pt>
                <c:pt idx="101">
                  <c:v>3.4637239354314864</c:v>
                </c:pt>
                <c:pt idx="102">
                  <c:v>3.5183611747858015</c:v>
                </c:pt>
                <c:pt idx="103">
                  <c:v>3.5735447865336596</c:v>
                </c:pt>
                <c:pt idx="104">
                  <c:v>3.6292802343989963</c:v>
                </c:pt>
                <c:pt idx="105">
                  <c:v>3.6855730367429862</c:v>
                </c:pt>
                <c:pt idx="106">
                  <c:v>3.7424287671104159</c:v>
                </c:pt>
                <c:pt idx="107">
                  <c:v>3.7998530547815204</c:v>
                </c:pt>
                <c:pt idx="108">
                  <c:v>3.8578515853293358</c:v>
                </c:pt>
                <c:pt idx="109">
                  <c:v>3.916430101182629</c:v>
                </c:pt>
                <c:pt idx="110">
                  <c:v>3.9755944021944551</c:v>
                </c:pt>
                <c:pt idx="111">
                  <c:v>4.0353503462163989</c:v>
                </c:pt>
                <c:pt idx="112">
                  <c:v>4.0957038496785625</c:v>
                </c:pt>
                <c:pt idx="113">
                  <c:v>4.156660888175348</c:v>
                </c:pt>
                <c:pt idx="114">
                  <c:v>4.218227497057101</c:v>
                </c:pt>
                <c:pt idx="115">
                  <c:v>4.2804097720276717</c:v>
                </c:pt>
                <c:pt idx="116">
                  <c:v>4.3432138697479479</c:v>
                </c:pt>
                <c:pt idx="117">
                  <c:v>4.4066460084454269</c:v>
                </c:pt>
                <c:pt idx="118">
                  <c:v>4.4707124685298805</c:v>
                </c:pt>
                <c:pt idx="119">
                  <c:v>4.5354195932151793</c:v>
                </c:pt>
                <c:pt idx="120">
                  <c:v>4.6007737891473308</c:v>
                </c:pt>
                <c:pt idx="121">
                  <c:v>4.666781527038804</c:v>
                </c:pt>
                <c:pt idx="122">
                  <c:v>4.7334493423091919</c:v>
                </c:pt>
                <c:pt idx="123">
                  <c:v>4.8007838357322834</c:v>
                </c:pt>
                <c:pt idx="124">
                  <c:v>4.8687916740896062</c:v>
                </c:pt>
                <c:pt idx="125">
                  <c:v>4.9374795908305016</c:v>
                </c:pt>
                <c:pt idx="126">
                  <c:v>5.006854386738806</c:v>
                </c:pt>
                <c:pt idx="127">
                  <c:v>5.0769229306061936</c:v>
                </c:pt>
                <c:pt idx="128">
                  <c:v>5.1476921599122551</c:v>
                </c:pt>
                <c:pt idx="129">
                  <c:v>5.2191690815113772</c:v>
                </c:pt>
                <c:pt idx="130">
                  <c:v>5.2913607723264908</c:v>
                </c:pt>
                <c:pt idx="131">
                  <c:v>5.3642743800497552</c:v>
                </c:pt>
                <c:pt idx="132">
                  <c:v>5.4379171238502524</c:v>
                </c:pt>
                <c:pt idx="133">
                  <c:v>5.5122962950887544</c:v>
                </c:pt>
                <c:pt idx="134">
                  <c:v>5.5874192580396418</c:v>
                </c:pt>
                <c:pt idx="135">
                  <c:v>5.6632934506200376</c:v>
                </c:pt>
                <c:pt idx="136">
                  <c:v>5.7399263851262372</c:v>
                </c:pt>
                <c:pt idx="137">
                  <c:v>5.8173256489774996</c:v>
                </c:pt>
                <c:pt idx="138">
                  <c:v>5.8954989054672744</c:v>
                </c:pt>
                <c:pt idx="139">
                  <c:v>5.9744538945219468</c:v>
                </c:pt>
                <c:pt idx="140">
                  <c:v>6.0541984334671657</c:v>
                </c:pt>
                <c:pt idx="141">
                  <c:v>6.1347404178018365</c:v>
                </c:pt>
                <c:pt idx="142">
                  <c:v>6.2160878219798548</c:v>
                </c:pt>
                <c:pt idx="143">
                  <c:v>6.298248700199653</c:v>
                </c:pt>
                <c:pt idx="144">
                  <c:v>6.3812311872016494</c:v>
                </c:pt>
                <c:pt idx="145">
                  <c:v>6.4650434990736656</c:v>
                </c:pt>
                <c:pt idx="146">
                  <c:v>6.5496939340644023</c:v>
                </c:pt>
                <c:pt idx="147">
                  <c:v>6.6351908734050458</c:v>
                </c:pt>
                <c:pt idx="148">
                  <c:v>6.7215427821390961</c:v>
                </c:pt>
                <c:pt idx="149">
                  <c:v>6.8087582099604864</c:v>
                </c:pt>
                <c:pt idx="150">
                  <c:v>6.8968457920600912</c:v>
                </c:pt>
                <c:pt idx="151">
                  <c:v>6.9858142499806917</c:v>
                </c:pt>
                <c:pt idx="152">
                  <c:v>7.0756723924804978</c:v>
                </c:pt>
                <c:pt idx="153">
                  <c:v>7.1664291164053022</c:v>
                </c:pt>
                <c:pt idx="154">
                  <c:v>7.2580934075693548</c:v>
                </c:pt>
                <c:pt idx="155">
                  <c:v>7.350674341645048</c:v>
                </c:pt>
                <c:pt idx="156">
                  <c:v>7.4441810850614978</c:v>
                </c:pt>
                <c:pt idx="157">
                  <c:v>7.5386228959121127</c:v>
                </c:pt>
                <c:pt idx="158">
                  <c:v>7.6340091248712332</c:v>
                </c:pt>
                <c:pt idx="159">
                  <c:v>7.7303492161199454</c:v>
                </c:pt>
                <c:pt idx="160">
                  <c:v>7.8276527082811445</c:v>
                </c:pt>
                <c:pt idx="161">
                  <c:v>7.9259292353639559</c:v>
                </c:pt>
                <c:pt idx="162">
                  <c:v>8.0251885277175958</c:v>
                </c:pt>
                <c:pt idx="163">
                  <c:v>8.1254404129947719</c:v>
                </c:pt>
                <c:pt idx="164">
                  <c:v>8.2266948171247201</c:v>
                </c:pt>
                <c:pt idx="165">
                  <c:v>8.3289617652959667</c:v>
                </c:pt>
                <c:pt idx="166">
                  <c:v>8.4322513829489267</c:v>
                </c:pt>
                <c:pt idx="167">
                  <c:v>8.5365738967784157</c:v>
                </c:pt>
                <c:pt idx="168">
                  <c:v>8.6419396357461995</c:v>
                </c:pt>
                <c:pt idx="169">
                  <c:v>8.7483590321036608</c:v>
                </c:pt>
                <c:pt idx="170">
                  <c:v>8.8558426224246976</c:v>
                </c:pt>
                <c:pt idx="171">
                  <c:v>8.9644010486489449</c:v>
                </c:pt>
                <c:pt idx="172">
                  <c:v>9.0740450591354342</c:v>
                </c:pt>
                <c:pt idx="173">
                  <c:v>9.1847855097267885</c:v>
                </c:pt>
                <c:pt idx="174">
                  <c:v>9.2966333648240553</c:v>
                </c:pt>
                <c:pt idx="175">
                  <c:v>9.4095996984722952</c:v>
                </c:pt>
                <c:pt idx="176">
                  <c:v>9.5236956954570182</c:v>
                </c:pt>
                <c:pt idx="177">
                  <c:v>9.6389326524115884</c:v>
                </c:pt>
                <c:pt idx="178">
                  <c:v>9.7553219789357044</c:v>
                </c:pt>
                <c:pt idx="179">
                  <c:v>9.8728751987250618</c:v>
                </c:pt>
                <c:pt idx="180">
                  <c:v>9.991603950712312</c:v>
                </c:pt>
                <c:pt idx="181">
                  <c:v>10.111519990219435</c:v>
                </c:pt>
                <c:pt idx="182">
                  <c:v>10.232635190121629</c:v>
                </c:pt>
                <c:pt idx="183">
                  <c:v>10.354961542022846</c:v>
                </c:pt>
                <c:pt idx="184">
                  <c:v>10.478511157443073</c:v>
                </c:pt>
                <c:pt idx="185">
                  <c:v>10.603296269017504</c:v>
                </c:pt>
                <c:pt idx="186">
                  <c:v>10.729329231707679</c:v>
                </c:pt>
                <c:pt idx="187">
                  <c:v>10.856622524024756</c:v>
                </c:pt>
                <c:pt idx="188">
                  <c:v>10.985188749265003</c:v>
                </c:pt>
                <c:pt idx="189">
                  <c:v>11.115040636757653</c:v>
                </c:pt>
                <c:pt idx="190">
                  <c:v>11.246191043125229</c:v>
                </c:pt>
                <c:pt idx="191">
                  <c:v>11.378652953556481</c:v>
                </c:pt>
                <c:pt idx="192">
                  <c:v>11.512439483092045</c:v>
                </c:pt>
                <c:pt idx="193">
                  <c:v>11.647563877922964</c:v>
                </c:pt>
                <c:pt idx="194">
                  <c:v>11.784039516702194</c:v>
                </c:pt>
                <c:pt idx="195">
                  <c:v>11.921879911869215</c:v>
                </c:pt>
                <c:pt idx="196">
                  <c:v>12.061098710987908</c:v>
                </c:pt>
                <c:pt idx="197">
                  <c:v>12.201709698097787</c:v>
                </c:pt>
                <c:pt idx="198">
                  <c:v>12.343726795078764</c:v>
                </c:pt>
                <c:pt idx="199">
                  <c:v>12.487164063029551</c:v>
                </c:pt>
                <c:pt idx="200">
                  <c:v>12.632035703659847</c:v>
                </c:pt>
                <c:pt idx="201">
                  <c:v>0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DE-4BDF-B3DA-500BE96C4666}"/>
            </c:ext>
          </c:extLst>
        </c:ser>
        <c:ser>
          <c:idx val="1"/>
          <c:order val="1"/>
          <c:tx>
            <c:strRef>
              <c:f>'Part-7'!$H$3</c:f>
              <c:strCache>
                <c:ptCount val="1"/>
                <c:pt idx="0">
                  <c:v>Exact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'Part-7'!$F$4:$F$1500</c:f>
              <c:numCache>
                <c:formatCode>General</c:formatCode>
                <c:ptCount val="149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</c:numCache>
            </c:numRef>
          </c:xVal>
          <c:yVal>
            <c:numRef>
              <c:f>'Part-7'!$H$4:$H$1500</c:f>
              <c:numCache>
                <c:formatCode>General</c:formatCode>
                <c:ptCount val="1497"/>
                <c:pt idx="0">
                  <c:v>0</c:v>
                </c:pt>
                <c:pt idx="1">
                  <c:v>2.0100334168335898E-2</c:v>
                </c:pt>
                <c:pt idx="2">
                  <c:v>4.0402680053511553E-2</c:v>
                </c:pt>
                <c:pt idx="3">
                  <c:v>6.0909067907033876E-2</c:v>
                </c:pt>
                <c:pt idx="4">
                  <c:v>8.1621548384776421E-2</c:v>
                </c:pt>
                <c:pt idx="5">
                  <c:v>0.10254219275204823</c:v>
                </c:pt>
                <c:pt idx="6">
                  <c:v>0.12367309309071928</c:v>
                </c:pt>
                <c:pt idx="7">
                  <c:v>0.14501636250843308</c:v>
                </c:pt>
                <c:pt idx="8">
                  <c:v>0.16657413534991727</c:v>
                </c:pt>
                <c:pt idx="9">
                  <c:v>0.18834856741042083</c:v>
                </c:pt>
                <c:pt idx="10">
                  <c:v>0.21034183615129542</c:v>
                </c:pt>
                <c:pt idx="11">
                  <c:v>0.23255614091774257</c:v>
                </c:pt>
                <c:pt idx="12">
                  <c:v>0.25499370315875147</c:v>
                </c:pt>
                <c:pt idx="13">
                  <c:v>0.27765676664924355</c:v>
                </c:pt>
                <c:pt idx="14">
                  <c:v>0.30054759771445472</c:v>
                </c:pt>
                <c:pt idx="15">
                  <c:v>0.32366848545656612</c:v>
                </c:pt>
                <c:pt idx="16">
                  <c:v>0.34702174198362057</c:v>
                </c:pt>
                <c:pt idx="17">
                  <c:v>0.3706097026407309</c:v>
                </c:pt>
                <c:pt idx="18">
                  <c:v>0.3944347262436203</c:v>
                </c:pt>
                <c:pt idx="19">
                  <c:v>0.41849919531450297</c:v>
                </c:pt>
                <c:pt idx="20">
                  <c:v>0.44280551632033971</c:v>
                </c:pt>
                <c:pt idx="21">
                  <c:v>0.4673561199134868</c:v>
                </c:pt>
                <c:pt idx="22">
                  <c:v>0.492153461174762</c:v>
                </c:pt>
                <c:pt idx="23">
                  <c:v>0.5172000198589557</c:v>
                </c:pt>
                <c:pt idx="24">
                  <c:v>0.54249830064280946</c:v>
                </c:pt>
                <c:pt idx="25">
                  <c:v>0.56805083337548323</c:v>
                </c:pt>
                <c:pt idx="26">
                  <c:v>0.59386017333154362</c:v>
                </c:pt>
                <c:pt idx="27">
                  <c:v>0.61992890146649504</c:v>
                </c:pt>
                <c:pt idx="28">
                  <c:v>0.64625962467487419</c:v>
                </c:pt>
                <c:pt idx="29">
                  <c:v>0.67285497605094458</c:v>
                </c:pt>
                <c:pt idx="30">
                  <c:v>0.69971761515200637</c:v>
                </c:pt>
                <c:pt idx="31">
                  <c:v>0.72685022826435608</c:v>
                </c:pt>
                <c:pt idx="32">
                  <c:v>0.75425552867191437</c:v>
                </c:pt>
                <c:pt idx="33">
                  <c:v>0.78193625692756097</c:v>
                </c:pt>
                <c:pt idx="34">
                  <c:v>0.80989518112718795</c:v>
                </c:pt>
                <c:pt idx="35">
                  <c:v>0.83813509718651469</c:v>
                </c:pt>
                <c:pt idx="36">
                  <c:v>0.86665882912068115</c:v>
                </c:pt>
                <c:pt idx="37">
                  <c:v>0.89546922932664952</c:v>
                </c:pt>
                <c:pt idx="38">
                  <c:v>0.92456917886844936</c:v>
                </c:pt>
                <c:pt idx="39">
                  <c:v>0.95396158776528583</c:v>
                </c:pt>
                <c:pt idx="40">
                  <c:v>0.98364939528254114</c:v>
                </c:pt>
                <c:pt idx="41">
                  <c:v>1.0136355702257078</c:v>
                </c:pt>
                <c:pt idx="42">
                  <c:v>1.0439231112372682</c:v>
                </c:pt>
                <c:pt idx="43">
                  <c:v>1.0745150470965634</c:v>
                </c:pt>
                <c:pt idx="44">
                  <c:v>1.1054144370226728</c:v>
                </c:pt>
                <c:pt idx="45">
                  <c:v>1.1366243709803383</c:v>
                </c:pt>
                <c:pt idx="46">
                  <c:v>1.1681479699889645</c:v>
                </c:pt>
                <c:pt idx="47">
                  <c:v>1.1999883864347214</c:v>
                </c:pt>
                <c:pt idx="48">
                  <c:v>1.2321488043857878</c:v>
                </c:pt>
                <c:pt idx="49">
                  <c:v>1.2646324399107587</c:v>
                </c:pt>
                <c:pt idx="50">
                  <c:v>1.2974425414002568</c:v>
                </c:pt>
                <c:pt idx="51">
                  <c:v>1.3305823898917732</c:v>
                </c:pt>
                <c:pt idx="52">
                  <c:v>1.3640552993977737</c:v>
                </c:pt>
                <c:pt idx="53">
                  <c:v>1.3978646172371021</c:v>
                </c:pt>
                <c:pt idx="54">
                  <c:v>1.432013724369718</c:v>
                </c:pt>
                <c:pt idx="55">
                  <c:v>1.4665060357347914</c:v>
                </c:pt>
                <c:pt idx="56">
                  <c:v>1.5013450005922033</c:v>
                </c:pt>
                <c:pt idx="57">
                  <c:v>1.5365341028674715</c:v>
                </c:pt>
                <c:pt idx="58">
                  <c:v>1.5720768615001477</c:v>
                </c:pt>
                <c:pt idx="59">
                  <c:v>1.6079768307957152</c:v>
                </c:pt>
                <c:pt idx="60">
                  <c:v>1.6442376007810191</c:v>
                </c:pt>
                <c:pt idx="61">
                  <c:v>1.6808627975632762</c:v>
                </c:pt>
                <c:pt idx="62">
                  <c:v>1.7178560836926855</c:v>
                </c:pt>
                <c:pt idx="63">
                  <c:v>1.7552211585286877</c:v>
                </c:pt>
                <c:pt idx="64">
                  <c:v>1.7929617586099038</c:v>
                </c:pt>
                <c:pt idx="65">
                  <c:v>1.8310816580277933</c:v>
                </c:pt>
                <c:pt idx="66">
                  <c:v>1.8695846688040643</c:v>
                </c:pt>
                <c:pt idx="67">
                  <c:v>1.9084746412718805</c:v>
                </c:pt>
                <c:pt idx="68">
                  <c:v>1.9477554644608968</c:v>
                </c:pt>
                <c:pt idx="69">
                  <c:v>1.9874310664861663</c:v>
                </c:pt>
                <c:pt idx="70">
                  <c:v>2.027505414940955</c:v>
                </c:pt>
                <c:pt idx="71">
                  <c:v>2.0679825172935029</c:v>
                </c:pt>
                <c:pt idx="72">
                  <c:v>2.108866421287777</c:v>
                </c:pt>
                <c:pt idx="73">
                  <c:v>2.1501612153482474</c:v>
                </c:pt>
                <c:pt idx="74">
                  <c:v>2.1918710289887313</c:v>
                </c:pt>
                <c:pt idx="75">
                  <c:v>2.2340000332253513</c:v>
                </c:pt>
                <c:pt idx="76">
                  <c:v>2.2765524409936395</c:v>
                </c:pt>
                <c:pt idx="77">
                  <c:v>2.3195325075698321</c:v>
                </c:pt>
                <c:pt idx="78">
                  <c:v>2.3629445309964039</c:v>
                </c:pt>
                <c:pt idx="79">
                  <c:v>2.4067928525118756</c:v>
                </c:pt>
                <c:pt idx="80">
                  <c:v>2.4510818569849375</c:v>
                </c:pt>
                <c:pt idx="81">
                  <c:v>2.4958159733529452</c:v>
                </c:pt>
                <c:pt idx="82">
                  <c:v>2.5409996750648141</c:v>
                </c:pt>
                <c:pt idx="83">
                  <c:v>2.5866374805283678</c:v>
                </c:pt>
                <c:pt idx="84">
                  <c:v>2.6327339535621856</c:v>
                </c:pt>
                <c:pt idx="85">
                  <c:v>2.6792937038519842</c:v>
                </c:pt>
                <c:pt idx="86">
                  <c:v>2.7263213874115921</c:v>
                </c:pt>
                <c:pt idx="87">
                  <c:v>2.7738217070485556</c:v>
                </c:pt>
                <c:pt idx="88">
                  <c:v>2.8217994128344221</c:v>
                </c:pt>
                <c:pt idx="89">
                  <c:v>2.8702593025797523</c:v>
                </c:pt>
                <c:pt idx="90">
                  <c:v>2.9192062223139024</c:v>
                </c:pt>
                <c:pt idx="91">
                  <c:v>2.9686450667696365</c:v>
                </c:pt>
                <c:pt idx="92">
                  <c:v>3.0185807798725985</c:v>
                </c:pt>
                <c:pt idx="93">
                  <c:v>3.0690183552357126</c:v>
                </c:pt>
                <c:pt idx="94">
                  <c:v>3.1199628366585461</c:v>
                </c:pt>
                <c:pt idx="95">
                  <c:v>3.1714193186316955</c:v>
                </c:pt>
                <c:pt idx="96">
                  <c:v>3.2233929468462383</c:v>
                </c:pt>
                <c:pt idx="97">
                  <c:v>3.2758889187083087</c:v>
                </c:pt>
                <c:pt idx="98">
                  <c:v>3.3289124838588373</c:v>
                </c:pt>
                <c:pt idx="99">
                  <c:v>3.3824689446985285</c:v>
                </c:pt>
                <c:pt idx="100">
                  <c:v>3.4365636569180937</c:v>
                </c:pt>
                <c:pt idx="101">
                  <c:v>3.4912020300338371</c:v>
                </c:pt>
                <c:pt idx="102">
                  <c:v>3.5463895279286</c:v>
                </c:pt>
                <c:pt idx="103">
                  <c:v>3.6021316693981618</c:v>
                </c:pt>
                <c:pt idx="104">
                  <c:v>3.6584340287031232</c:v>
                </c:pt>
                <c:pt idx="105">
                  <c:v>3.7153022361263313</c:v>
                </c:pt>
                <c:pt idx="106">
                  <c:v>3.7727419785359206</c:v>
                </c:pt>
                <c:pt idx="107">
                  <c:v>3.8307589999539973</c:v>
                </c:pt>
                <c:pt idx="108">
                  <c:v>3.8893591021310518</c:v>
                </c:pt>
                <c:pt idx="109">
                  <c:v>3.9485481451261348</c:v>
                </c:pt>
                <c:pt idx="110">
                  <c:v>4.0083320478928703</c:v>
                </c:pt>
                <c:pt idx="111">
                  <c:v>4.068716788871356</c:v>
                </c:pt>
                <c:pt idx="112">
                  <c:v>4.1297084065860092</c:v>
                </c:pt>
                <c:pt idx="113">
                  <c:v>4.1913130002494281</c:v>
                </c:pt>
                <c:pt idx="114">
                  <c:v>4.2535367303723168</c:v>
                </c:pt>
                <c:pt idx="115">
                  <c:v>4.3163858193795406</c:v>
                </c:pt>
                <c:pt idx="116">
                  <c:v>4.3798665522323743</c:v>
                </c:pt>
                <c:pt idx="117">
                  <c:v>4.4439852770570054</c:v>
                </c:pt>
                <c:pt idx="118">
                  <c:v>4.5087484057793468</c:v>
                </c:pt>
                <c:pt idx="119">
                  <c:v>4.5741624147662421</c:v>
                </c:pt>
                <c:pt idx="120">
                  <c:v>4.6402338454731007</c:v>
                </c:pt>
                <c:pt idx="121">
                  <c:v>4.7069693050980534</c:v>
                </c:pt>
                <c:pt idx="122">
                  <c:v>4.7743754672426748</c:v>
                </c:pt>
                <c:pt idx="123">
                  <c:v>4.842459072579353</c:v>
                </c:pt>
                <c:pt idx="124">
                  <c:v>4.9112269295253572</c:v>
                </c:pt>
                <c:pt idx="125">
                  <c:v>4.9806859149236891</c:v>
                </c:pt>
                <c:pt idx="126">
                  <c:v>5.050842974730771</c:v>
                </c:pt>
                <c:pt idx="127">
                  <c:v>5.1217051247110472</c:v>
                </c:pt>
                <c:pt idx="128">
                  <c:v>5.1932794511385696</c:v>
                </c:pt>
                <c:pt idx="129">
                  <c:v>5.265573111505625</c:v>
                </c:pt>
                <c:pt idx="130">
                  <c:v>5.3385933352384951</c:v>
                </c:pt>
                <c:pt idx="131">
                  <c:v>5.4123474244204042</c:v>
                </c:pt>
                <c:pt idx="132">
                  <c:v>5.4868427545217324</c:v>
                </c:pt>
                <c:pt idx="133">
                  <c:v>5.5620867751375691</c:v>
                </c:pt>
                <c:pt idx="134">
                  <c:v>5.6380870107326793</c:v>
                </c:pt>
                <c:pt idx="135">
                  <c:v>5.714851061393956</c:v>
                </c:pt>
                <c:pt idx="136">
                  <c:v>5.7923866035904368</c:v>
                </c:pt>
                <c:pt idx="137">
                  <c:v>5.8707013909409538</c:v>
                </c:pt>
                <c:pt idx="138">
                  <c:v>5.9498032549895044</c:v>
                </c:pt>
                <c:pt idx="139">
                  <c:v>6.0297001059884128</c:v>
                </c:pt>
                <c:pt idx="140">
                  <c:v>6.110399933689358</c:v>
                </c:pt>
                <c:pt idx="141">
                  <c:v>6.1919108081423619</c:v>
                </c:pt>
                <c:pt idx="142">
                  <c:v>6.2742408805027949</c:v>
                </c:pt>
                <c:pt idx="143">
                  <c:v>6.3573983838465011</c:v>
                </c:pt>
                <c:pt idx="144">
                  <c:v>6.4413916339931152</c:v>
                </c:pt>
                <c:pt idx="145">
                  <c:v>6.5262290303376442</c:v>
                </c:pt>
                <c:pt idx="146">
                  <c:v>6.6119190566904216</c:v>
                </c:pt>
                <c:pt idx="147">
                  <c:v>6.6984702821254913</c:v>
                </c:pt>
                <c:pt idx="148">
                  <c:v>6.785891361837523</c:v>
                </c:pt>
                <c:pt idx="149">
                  <c:v>6.8741910380073392</c:v>
                </c:pt>
                <c:pt idx="150">
                  <c:v>6.9633781406761397</c:v>
                </c:pt>
                <c:pt idx="151">
                  <c:v>7.0534615886285152</c:v>
                </c:pt>
                <c:pt idx="152">
                  <c:v>7.1444503902843284</c:v>
                </c:pt>
                <c:pt idx="153">
                  <c:v>7.2363536445995713</c:v>
                </c:pt>
                <c:pt idx="154">
                  <c:v>7.3291805419762621</c:v>
                </c:pt>
                <c:pt idx="155">
                  <c:v>7.4229403651814927</c:v>
                </c:pt>
                <c:pt idx="156">
                  <c:v>7.5176424902757191</c:v>
                </c:pt>
                <c:pt idx="157">
                  <c:v>7.613296387550367</c:v>
                </c:pt>
                <c:pt idx="158">
                  <c:v>7.7099116224748787</c:v>
                </c:pt>
                <c:pt idx="159">
                  <c:v>7.8074978566532565</c:v>
                </c:pt>
                <c:pt idx="160">
                  <c:v>7.9060648487902423</c:v>
                </c:pt>
                <c:pt idx="161">
                  <c:v>8.0056224556671882</c:v>
                </c:pt>
                <c:pt idx="162">
                  <c:v>8.1061806331277459</c:v>
                </c:pt>
                <c:pt idx="163">
                  <c:v>8.2077494370734634</c:v>
                </c:pt>
                <c:pt idx="164">
                  <c:v>8.3103390244693749</c:v>
                </c:pt>
                <c:pt idx="165">
                  <c:v>8.4139596543597097</c:v>
                </c:pt>
                <c:pt idx="166">
                  <c:v>8.5186216888938109</c:v>
                </c:pt>
                <c:pt idx="167">
                  <c:v>8.6243355943623481</c:v>
                </c:pt>
                <c:pt idx="168">
                  <c:v>8.7311119422439631</c:v>
                </c:pt>
                <c:pt idx="169">
                  <c:v>8.8389614102624261</c:v>
                </c:pt>
                <c:pt idx="170">
                  <c:v>8.947894783454414</c:v>
                </c:pt>
                <c:pt idx="171">
                  <c:v>9.0579229552480225</c:v>
                </c:pt>
                <c:pt idx="172">
                  <c:v>9.1690569285521217</c:v>
                </c:pt>
                <c:pt idx="173">
                  <c:v>9.281307816856657</c:v>
                </c:pt>
                <c:pt idx="174">
                  <c:v>9.3946868453439976</c:v>
                </c:pt>
                <c:pt idx="175">
                  <c:v>9.5092053520114757</c:v>
                </c:pt>
                <c:pt idx="176">
                  <c:v>9.6248747888051938</c:v>
                </c:pt>
                <c:pt idx="177">
                  <c:v>9.7417067227652172</c:v>
                </c:pt>
                <c:pt idx="178">
                  <c:v>9.8597128371823075</c:v>
                </c:pt>
                <c:pt idx="179">
                  <c:v>9.9789049327662429</c:v>
                </c:pt>
                <c:pt idx="180">
                  <c:v>10.099294928825909</c:v>
                </c:pt>
                <c:pt idx="181">
                  <c:v>10.220894864461236</c:v>
                </c:pt>
                <c:pt idx="182">
                  <c:v>10.343716899767124</c:v>
                </c:pt>
                <c:pt idx="183">
                  <c:v>10.467773317049453</c:v>
                </c:pt>
                <c:pt idx="184">
                  <c:v>10.593076522053332</c:v>
                </c:pt>
                <c:pt idx="185">
                  <c:v>10.719639045203682</c:v>
                </c:pt>
                <c:pt idx="186">
                  <c:v>10.847473542858287</c:v>
                </c:pt>
                <c:pt idx="187">
                  <c:v>10.97659279857344</c:v>
                </c:pt>
                <c:pt idx="188">
                  <c:v>11.107009724382316</c:v>
                </c:pt>
                <c:pt idx="189">
                  <c:v>11.238737362086175</c:v>
                </c:pt>
                <c:pt idx="190">
                  <c:v>11.371788884558558</c:v>
                </c:pt>
                <c:pt idx="191">
                  <c:v>11.506177597062594</c:v>
                </c:pt>
                <c:pt idx="192">
                  <c:v>11.64191693858152</c:v>
                </c:pt>
                <c:pt idx="193">
                  <c:v>11.779020483162606</c:v>
                </c:pt>
                <c:pt idx="194">
                  <c:v>11.917501941274566</c:v>
                </c:pt>
                <c:pt idx="195">
                  <c:v>12.057375161178609</c:v>
                </c:pt>
                <c:pt idx="196">
                  <c:v>12.198654130313287</c:v>
                </c:pt>
                <c:pt idx="197">
                  <c:v>12.341352976693248</c:v>
                </c:pt>
                <c:pt idx="198">
                  <c:v>12.485485970322047</c:v>
                </c:pt>
                <c:pt idx="199">
                  <c:v>12.631067524619155</c:v>
                </c:pt>
                <c:pt idx="200">
                  <c:v>12.77811219786132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DE-4BDF-B3DA-500BE96C4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456744"/>
        <c:axId val="512453464"/>
      </c:scatterChart>
      <c:valAx>
        <c:axId val="51245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53464"/>
        <c:crosses val="autoZero"/>
        <c:crossBetween val="midCat"/>
      </c:valAx>
      <c:valAx>
        <c:axId val="51245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56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'Part-8'!$C$3</c:f>
              <c:strCache>
                <c:ptCount val="1"/>
                <c:pt idx="0">
                  <c:v>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B5-418F-80F6-1EE01F1968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B5-418F-80F6-1EE01F1968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B5-418F-80F6-1EE01F1968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B5-418F-80F6-1EE01F1968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B5-418F-80F6-1EE01F1968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B5-418F-80F6-1EE01F19688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DB5-418F-80F6-1EE01F19688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DB5-418F-80F6-1EE01F19688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DB5-418F-80F6-1EE01F19688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DB5-418F-80F6-1EE01F19688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DB5-418F-80F6-1EE01F19688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DB5-418F-80F6-1EE01F196881}"/>
              </c:ext>
            </c:extLst>
          </c:dPt>
          <c:cat>
            <c:strRef>
              <c:f>'Part-8'!$B$4:$B$15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'Part-8'!$C$4:$C$15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  <c:pt idx="3">
                  <c:v>200</c:v>
                </c:pt>
                <c:pt idx="4">
                  <c:v>225</c:v>
                </c:pt>
                <c:pt idx="5">
                  <c:v>250</c:v>
                </c:pt>
                <c:pt idx="6">
                  <c:v>275</c:v>
                </c:pt>
                <c:pt idx="7">
                  <c:v>300</c:v>
                </c:pt>
                <c:pt idx="8">
                  <c:v>325</c:v>
                </c:pt>
                <c:pt idx="9">
                  <c:v>350</c:v>
                </c:pt>
                <c:pt idx="10">
                  <c:v>375</c:v>
                </c:pt>
                <c:pt idx="1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5-40C1-8F86-0675F58C4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714374</xdr:colOff>
      <xdr:row>4</xdr:row>
      <xdr:rowOff>4762</xdr:rowOff>
    </xdr:from>
    <xdr:to>
      <xdr:col>12</xdr:col>
      <xdr:colOff>761999</xdr:colOff>
      <xdr:row>27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3BBE1E7-823E-44D4-AADD-51ABDD1AF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380999</xdr:colOff>
      <xdr:row>3</xdr:row>
      <xdr:rowOff>14287</xdr:rowOff>
    </xdr:from>
    <xdr:to>
      <xdr:col>19</xdr:col>
      <xdr:colOff>600075</xdr:colOff>
      <xdr:row>31</xdr:row>
      <xdr:rowOff>171451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E326657-E241-4A76-A33B-1EBA4539C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404811</xdr:colOff>
      <xdr:row>33</xdr:row>
      <xdr:rowOff>123824</xdr:rowOff>
    </xdr:from>
    <xdr:to>
      <xdr:col>19</xdr:col>
      <xdr:colOff>719136</xdr:colOff>
      <xdr:row>63</xdr:row>
      <xdr:rowOff>95249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19CF9C0-4076-48C6-8631-07161B3BC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3</xdr:row>
      <xdr:rowOff>19050</xdr:rowOff>
    </xdr:from>
    <xdr:to>
      <xdr:col>17</xdr:col>
      <xdr:colOff>66675</xdr:colOff>
      <xdr:row>26</xdr:row>
      <xdr:rowOff>61912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197AFE4-AD58-4D34-9B91-E955C07C2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4761</xdr:colOff>
      <xdr:row>28</xdr:row>
      <xdr:rowOff>90487</xdr:rowOff>
    </xdr:from>
    <xdr:to>
      <xdr:col>17</xdr:col>
      <xdr:colOff>47624</xdr:colOff>
      <xdr:row>56</xdr:row>
      <xdr:rowOff>28575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AB3B75C-569F-4564-8A6B-9AFC9C83C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574822</xdr:colOff>
      <xdr:row>21</xdr:row>
      <xdr:rowOff>89207</xdr:rowOff>
    </xdr:from>
    <xdr:to>
      <xdr:col>27</xdr:col>
      <xdr:colOff>566417</xdr:colOff>
      <xdr:row>35</xdr:row>
      <xdr:rowOff>165407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F30310D-A372-4F5E-B15E-DBC583018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590429</xdr:colOff>
      <xdr:row>5</xdr:row>
      <xdr:rowOff>159042</xdr:rowOff>
    </xdr:from>
    <xdr:to>
      <xdr:col>27</xdr:col>
      <xdr:colOff>590429</xdr:colOff>
      <xdr:row>20</xdr:row>
      <xdr:rowOff>44742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8CE41C1-FF37-4D15-A98C-363C17530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663148</xdr:colOff>
      <xdr:row>37</xdr:row>
      <xdr:rowOff>51946</xdr:rowOff>
    </xdr:from>
    <xdr:to>
      <xdr:col>27</xdr:col>
      <xdr:colOff>663148</xdr:colOff>
      <xdr:row>51</xdr:row>
      <xdr:rowOff>128146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7FC9264-224A-42CE-AC48-FAB519FA6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748392</xdr:colOff>
      <xdr:row>5</xdr:row>
      <xdr:rowOff>2721</xdr:rowOff>
    </xdr:from>
    <xdr:to>
      <xdr:col>21</xdr:col>
      <xdr:colOff>272142</xdr:colOff>
      <xdr:row>38</xdr:row>
      <xdr:rowOff>27214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C4C66992-AB19-4263-83A7-C2ADD3A8D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13606</xdr:colOff>
      <xdr:row>40</xdr:row>
      <xdr:rowOff>16328</xdr:rowOff>
    </xdr:from>
    <xdr:to>
      <xdr:col>21</xdr:col>
      <xdr:colOff>0</xdr:colOff>
      <xdr:row>67</xdr:row>
      <xdr:rowOff>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3E8467D-5BE3-447B-A2FC-F36B67251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252412</xdr:colOff>
      <xdr:row>2</xdr:row>
      <xdr:rowOff>176212</xdr:rowOff>
    </xdr:from>
    <xdr:to>
      <xdr:col>17</xdr:col>
      <xdr:colOff>252412</xdr:colOff>
      <xdr:row>17</xdr:row>
      <xdr:rowOff>61912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AFC5DA7-159E-4C08-B164-2AB21180B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200705</xdr:colOff>
      <xdr:row>18</xdr:row>
      <xdr:rowOff>188457</xdr:rowOff>
    </xdr:from>
    <xdr:to>
      <xdr:col>17</xdr:col>
      <xdr:colOff>721179</xdr:colOff>
      <xdr:row>36</xdr:row>
      <xdr:rowOff>40820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C2D1EDE-24C5-42D8-8C05-6728FFB2F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433386</xdr:colOff>
      <xdr:row>2</xdr:row>
      <xdr:rowOff>23811</xdr:rowOff>
    </xdr:from>
    <xdr:to>
      <xdr:col>16</xdr:col>
      <xdr:colOff>265043</xdr:colOff>
      <xdr:row>22</xdr:row>
      <xdr:rowOff>99390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34377721-B280-408F-A76C-C59215F9F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</xdr:row>
      <xdr:rowOff>4762</xdr:rowOff>
    </xdr:from>
    <xdr:to>
      <xdr:col>9</xdr:col>
      <xdr:colOff>647700</xdr:colOff>
      <xdr:row>16</xdr:row>
      <xdr:rowOff>9525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4F6800E-EDBD-40B8-8761-D42B20BC7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54C8-C006-425B-B1CF-AA601123D39A}">
  <dimension ref="B4:C67"/>
  <sheetViews>
    <sheetView tabSelected="1" workbookViewId="0">
      <selection activeCell="F34" sqref="F34"/>
    </sheetView>
  </sheetViews>
  <sheetFormatPr baseColWidth="10" defaultRowHeight="15" x14ac:dyDescent="0.25"/>
  <cols>
    <col min="3" max="3" width="12.28515625" bestFit="1" customWidth="1"/>
  </cols>
  <sheetData>
    <row r="4" spans="2:3" x14ac:dyDescent="0.25">
      <c r="B4" s="1" t="s">
        <v>0</v>
      </c>
      <c r="C4" s="1" t="s">
        <v>1</v>
      </c>
    </row>
    <row r="5" spans="2:3" x14ac:dyDescent="0.25">
      <c r="B5" s="2">
        <v>1</v>
      </c>
      <c r="C5" s="3">
        <f>20*LOG10(B5)-40</f>
        <v>-40</v>
      </c>
    </row>
    <row r="6" spans="2:3" x14ac:dyDescent="0.25">
      <c r="B6" s="2">
        <v>2</v>
      </c>
      <c r="C6" s="3">
        <f t="shared" ref="C6:C67" si="0">20*LOG10(B6)-40</f>
        <v>-33.979400086720375</v>
      </c>
    </row>
    <row r="7" spans="2:3" x14ac:dyDescent="0.25">
      <c r="B7" s="2">
        <v>3</v>
      </c>
      <c r="C7" s="3">
        <f t="shared" si="0"/>
        <v>-30.457574905606752</v>
      </c>
    </row>
    <row r="8" spans="2:3" x14ac:dyDescent="0.25">
      <c r="B8" s="2">
        <v>4</v>
      </c>
      <c r="C8" s="3">
        <f t="shared" si="0"/>
        <v>-27.95880017344075</v>
      </c>
    </row>
    <row r="9" spans="2:3" x14ac:dyDescent="0.25">
      <c r="B9" s="2">
        <v>5</v>
      </c>
      <c r="C9" s="3">
        <f t="shared" si="0"/>
        <v>-26.020599913279625</v>
      </c>
    </row>
    <row r="10" spans="2:3" x14ac:dyDescent="0.25">
      <c r="B10" s="2">
        <v>6</v>
      </c>
      <c r="C10" s="3">
        <f t="shared" si="0"/>
        <v>-24.436974992327126</v>
      </c>
    </row>
    <row r="11" spans="2:3" x14ac:dyDescent="0.25">
      <c r="B11" s="2">
        <v>7</v>
      </c>
      <c r="C11" s="3">
        <f t="shared" si="0"/>
        <v>-23.098039199714865</v>
      </c>
    </row>
    <row r="12" spans="2:3" x14ac:dyDescent="0.25">
      <c r="B12" s="2">
        <v>8</v>
      </c>
      <c r="C12" s="3">
        <f t="shared" si="0"/>
        <v>-21.938200260161128</v>
      </c>
    </row>
    <row r="13" spans="2:3" x14ac:dyDescent="0.25">
      <c r="B13" s="2">
        <v>9</v>
      </c>
      <c r="C13" s="3">
        <f t="shared" si="0"/>
        <v>-20.915149811213503</v>
      </c>
    </row>
    <row r="14" spans="2:3" x14ac:dyDescent="0.25">
      <c r="B14" s="2">
        <v>10</v>
      </c>
      <c r="C14" s="3">
        <f t="shared" si="0"/>
        <v>-20</v>
      </c>
    </row>
    <row r="15" spans="2:3" x14ac:dyDescent="0.25">
      <c r="B15" s="2" cm="1">
        <f t="array" ref="B15:B23">B6:B14*10</f>
        <v>20</v>
      </c>
      <c r="C15" s="3">
        <f t="shared" si="0"/>
        <v>-13.979400086720375</v>
      </c>
    </row>
    <row r="16" spans="2:3" x14ac:dyDescent="0.25">
      <c r="B16" s="2">
        <v>30</v>
      </c>
      <c r="C16" s="3">
        <f t="shared" si="0"/>
        <v>-10.457574905606752</v>
      </c>
    </row>
    <row r="17" spans="2:3" x14ac:dyDescent="0.25">
      <c r="B17" s="2">
        <v>40</v>
      </c>
      <c r="C17" s="3">
        <f t="shared" si="0"/>
        <v>-7.958800173440757</v>
      </c>
    </row>
    <row r="18" spans="2:3" x14ac:dyDescent="0.25">
      <c r="B18" s="2">
        <v>50</v>
      </c>
      <c r="C18" s="3">
        <f t="shared" si="0"/>
        <v>-6.0205999132796251</v>
      </c>
    </row>
    <row r="19" spans="2:3" x14ac:dyDescent="0.25">
      <c r="B19" s="2">
        <v>60</v>
      </c>
      <c r="C19" s="3">
        <f t="shared" si="0"/>
        <v>-4.43697499232713</v>
      </c>
    </row>
    <row r="20" spans="2:3" x14ac:dyDescent="0.25">
      <c r="B20" s="2">
        <v>70</v>
      </c>
      <c r="C20" s="3">
        <f t="shared" si="0"/>
        <v>-3.0980391997148615</v>
      </c>
    </row>
    <row r="21" spans="2:3" x14ac:dyDescent="0.25">
      <c r="B21" s="2">
        <v>80</v>
      </c>
      <c r="C21" s="3">
        <f t="shared" si="0"/>
        <v>-1.9382002601611319</v>
      </c>
    </row>
    <row r="22" spans="2:3" x14ac:dyDescent="0.25">
      <c r="B22" s="2">
        <v>90</v>
      </c>
      <c r="C22" s="3">
        <f t="shared" si="0"/>
        <v>-0.91514981121350303</v>
      </c>
    </row>
    <row r="23" spans="2:3" x14ac:dyDescent="0.25">
      <c r="B23" s="2">
        <v>100</v>
      </c>
      <c r="C23" s="3">
        <f t="shared" si="0"/>
        <v>0</v>
      </c>
    </row>
    <row r="24" spans="2:3" x14ac:dyDescent="0.25">
      <c r="B24" s="2" cm="1">
        <f t="array" ref="B24:B32">_xlfn.ANCHORARRAY(B15)*10</f>
        <v>200</v>
      </c>
      <c r="C24" s="3">
        <f t="shared" si="0"/>
        <v>6.0205999132796251</v>
      </c>
    </row>
    <row r="25" spans="2:3" x14ac:dyDescent="0.25">
      <c r="B25" s="2">
        <v>300</v>
      </c>
      <c r="C25" s="3">
        <f t="shared" si="0"/>
        <v>9.542425094393252</v>
      </c>
    </row>
    <row r="26" spans="2:3" x14ac:dyDescent="0.25">
      <c r="B26" s="2">
        <v>400</v>
      </c>
      <c r="C26" s="3">
        <f t="shared" si="0"/>
        <v>12.04119982655925</v>
      </c>
    </row>
    <row r="27" spans="2:3" x14ac:dyDescent="0.25">
      <c r="B27" s="2">
        <v>500</v>
      </c>
      <c r="C27" s="3">
        <f t="shared" si="0"/>
        <v>13.979400086720375</v>
      </c>
    </row>
    <row r="28" spans="2:3" x14ac:dyDescent="0.25">
      <c r="B28" s="2">
        <v>600</v>
      </c>
      <c r="C28" s="3">
        <f t="shared" si="0"/>
        <v>15.56302500767287</v>
      </c>
    </row>
    <row r="29" spans="2:3" x14ac:dyDescent="0.25">
      <c r="B29" s="2">
        <v>700</v>
      </c>
      <c r="C29" s="3">
        <f t="shared" si="0"/>
        <v>16.901960800285138</v>
      </c>
    </row>
    <row r="30" spans="2:3" x14ac:dyDescent="0.25">
      <c r="B30" s="2">
        <v>800</v>
      </c>
      <c r="C30" s="3">
        <f t="shared" si="0"/>
        <v>18.061799739838875</v>
      </c>
    </row>
    <row r="31" spans="2:3" x14ac:dyDescent="0.25">
      <c r="B31" s="2">
        <v>900</v>
      </c>
      <c r="C31" s="3">
        <f t="shared" si="0"/>
        <v>19.084850188786497</v>
      </c>
    </row>
    <row r="32" spans="2:3" x14ac:dyDescent="0.25">
      <c r="B32" s="2">
        <v>1000</v>
      </c>
      <c r="C32" s="3">
        <f t="shared" si="0"/>
        <v>20</v>
      </c>
    </row>
    <row r="33" spans="2:3" x14ac:dyDescent="0.25">
      <c r="B33" s="2" cm="1">
        <f t="array" ref="B33:B41">_xlfn.ANCHORARRAY(B24)*10</f>
        <v>2000</v>
      </c>
      <c r="C33" s="3">
        <f t="shared" si="0"/>
        <v>26.020599913279625</v>
      </c>
    </row>
    <row r="34" spans="2:3" x14ac:dyDescent="0.25">
      <c r="B34" s="2">
        <v>3000</v>
      </c>
      <c r="C34" s="3">
        <f t="shared" si="0"/>
        <v>29.542425094393252</v>
      </c>
    </row>
    <row r="35" spans="2:3" x14ac:dyDescent="0.25">
      <c r="B35" s="2">
        <v>4000</v>
      </c>
      <c r="C35" s="3">
        <f t="shared" si="0"/>
        <v>32.04119982655925</v>
      </c>
    </row>
    <row r="36" spans="2:3" x14ac:dyDescent="0.25">
      <c r="B36" s="2">
        <v>5000</v>
      </c>
      <c r="C36" s="3">
        <f t="shared" si="0"/>
        <v>33.979400086720375</v>
      </c>
    </row>
    <row r="37" spans="2:3" x14ac:dyDescent="0.25">
      <c r="B37" s="2">
        <v>6000</v>
      </c>
      <c r="C37" s="3">
        <f t="shared" si="0"/>
        <v>35.563025007672863</v>
      </c>
    </row>
    <row r="38" spans="2:3" x14ac:dyDescent="0.25">
      <c r="B38" s="2">
        <v>7000</v>
      </c>
      <c r="C38" s="3">
        <f t="shared" si="0"/>
        <v>36.901960800285138</v>
      </c>
    </row>
    <row r="39" spans="2:3" x14ac:dyDescent="0.25">
      <c r="B39" s="2">
        <v>8000</v>
      </c>
      <c r="C39" s="3">
        <f t="shared" si="0"/>
        <v>38.061799739838875</v>
      </c>
    </row>
    <row r="40" spans="2:3" x14ac:dyDescent="0.25">
      <c r="B40" s="2">
        <v>9000</v>
      </c>
      <c r="C40" s="3">
        <f t="shared" si="0"/>
        <v>39.08485018878649</v>
      </c>
    </row>
    <row r="41" spans="2:3" x14ac:dyDescent="0.25">
      <c r="B41" s="2">
        <v>10000</v>
      </c>
      <c r="C41" s="3">
        <f t="shared" si="0"/>
        <v>40</v>
      </c>
    </row>
    <row r="42" spans="2:3" x14ac:dyDescent="0.25">
      <c r="B42" s="2" cm="1">
        <f t="array" ref="B42:B50">_xlfn.ANCHORARRAY(B33)*10</f>
        <v>20000</v>
      </c>
      <c r="C42" s="3">
        <f t="shared" si="0"/>
        <v>46.020599913279625</v>
      </c>
    </row>
    <row r="43" spans="2:3" x14ac:dyDescent="0.25">
      <c r="B43" s="2">
        <v>30000</v>
      </c>
      <c r="C43" s="3">
        <f t="shared" si="0"/>
        <v>49.542425094393252</v>
      </c>
    </row>
    <row r="44" spans="2:3" x14ac:dyDescent="0.25">
      <c r="B44" s="2">
        <v>40000</v>
      </c>
      <c r="C44" s="3">
        <f t="shared" si="0"/>
        <v>52.04119982655925</v>
      </c>
    </row>
    <row r="45" spans="2:3" x14ac:dyDescent="0.25">
      <c r="B45" s="2">
        <v>50000</v>
      </c>
      <c r="C45" s="3">
        <f t="shared" si="0"/>
        <v>53.979400086720375</v>
      </c>
    </row>
    <row r="46" spans="2:3" x14ac:dyDescent="0.25">
      <c r="B46" s="2">
        <v>60000</v>
      </c>
      <c r="C46" s="3">
        <f t="shared" si="0"/>
        <v>55.563025007672877</v>
      </c>
    </row>
    <row r="47" spans="2:3" x14ac:dyDescent="0.25">
      <c r="B47" s="2">
        <v>70000</v>
      </c>
      <c r="C47" s="3">
        <f t="shared" si="0"/>
        <v>56.901960800285138</v>
      </c>
    </row>
    <row r="48" spans="2:3" x14ac:dyDescent="0.25">
      <c r="B48" s="2">
        <v>80000</v>
      </c>
      <c r="C48" s="3">
        <f t="shared" si="0"/>
        <v>58.061799739838875</v>
      </c>
    </row>
    <row r="49" spans="2:3" x14ac:dyDescent="0.25">
      <c r="B49" s="2">
        <v>90000</v>
      </c>
      <c r="C49" s="3">
        <f t="shared" si="0"/>
        <v>59.084850188786504</v>
      </c>
    </row>
    <row r="50" spans="2:3" x14ac:dyDescent="0.25">
      <c r="B50" s="2">
        <v>100000</v>
      </c>
      <c r="C50" s="3">
        <f t="shared" si="0"/>
        <v>60</v>
      </c>
    </row>
    <row r="51" spans="2:3" x14ac:dyDescent="0.25">
      <c r="B51" s="2" cm="1">
        <f t="array" ref="B51:B59">_xlfn.ANCHORARRAY(B42)*10</f>
        <v>200000</v>
      </c>
      <c r="C51" s="3">
        <f t="shared" si="0"/>
        <v>66.020599913279625</v>
      </c>
    </row>
    <row r="52" spans="2:3" x14ac:dyDescent="0.25">
      <c r="B52" s="2">
        <v>300000</v>
      </c>
      <c r="C52" s="3">
        <f t="shared" si="0"/>
        <v>69.542425094393252</v>
      </c>
    </row>
    <row r="53" spans="2:3" x14ac:dyDescent="0.25">
      <c r="B53" s="2">
        <v>400000</v>
      </c>
      <c r="C53" s="3">
        <f t="shared" si="0"/>
        <v>72.04119982655925</v>
      </c>
    </row>
    <row r="54" spans="2:3" x14ac:dyDescent="0.25">
      <c r="B54" s="2">
        <v>500000</v>
      </c>
      <c r="C54" s="3">
        <f t="shared" si="0"/>
        <v>73.979400086720375</v>
      </c>
    </row>
    <row r="55" spans="2:3" x14ac:dyDescent="0.25">
      <c r="B55" s="2">
        <v>600000</v>
      </c>
      <c r="C55" s="3">
        <f t="shared" si="0"/>
        <v>75.563025007672877</v>
      </c>
    </row>
    <row r="56" spans="2:3" x14ac:dyDescent="0.25">
      <c r="B56" s="2">
        <v>700000</v>
      </c>
      <c r="C56" s="3">
        <f t="shared" si="0"/>
        <v>76.901960800285138</v>
      </c>
    </row>
    <row r="57" spans="2:3" x14ac:dyDescent="0.25">
      <c r="B57" s="2">
        <v>800000</v>
      </c>
      <c r="C57" s="3">
        <f t="shared" si="0"/>
        <v>78.061799739838875</v>
      </c>
    </row>
    <row r="58" spans="2:3" x14ac:dyDescent="0.25">
      <c r="B58" s="2">
        <v>900000</v>
      </c>
      <c r="C58" s="3">
        <f t="shared" si="0"/>
        <v>79.084850188786504</v>
      </c>
    </row>
    <row r="59" spans="2:3" x14ac:dyDescent="0.25">
      <c r="B59" s="2">
        <v>1000000</v>
      </c>
      <c r="C59" s="3">
        <f t="shared" si="0"/>
        <v>80</v>
      </c>
    </row>
    <row r="60" spans="2:3" x14ac:dyDescent="0.25">
      <c r="B60" s="2" cm="1">
        <f t="array" ref="B60:B67">B51:B58*10</f>
        <v>2000000</v>
      </c>
      <c r="C60" s="3">
        <f t="shared" si="0"/>
        <v>86.020599913279625</v>
      </c>
    </row>
    <row r="61" spans="2:3" x14ac:dyDescent="0.25">
      <c r="B61" s="2">
        <v>3000000</v>
      </c>
      <c r="C61" s="3">
        <f t="shared" si="0"/>
        <v>89.542425094393252</v>
      </c>
    </row>
    <row r="62" spans="2:3" x14ac:dyDescent="0.25">
      <c r="B62" s="2">
        <v>4000000</v>
      </c>
      <c r="C62" s="3">
        <f t="shared" si="0"/>
        <v>92.04119982655925</v>
      </c>
    </row>
    <row r="63" spans="2:3" x14ac:dyDescent="0.25">
      <c r="B63" s="2">
        <v>5000000</v>
      </c>
      <c r="C63" s="3">
        <f t="shared" si="0"/>
        <v>93.979400086720375</v>
      </c>
    </row>
    <row r="64" spans="2:3" x14ac:dyDescent="0.25">
      <c r="B64" s="2">
        <v>6000000</v>
      </c>
      <c r="C64" s="3">
        <f t="shared" si="0"/>
        <v>95.563025007672877</v>
      </c>
    </row>
    <row r="65" spans="2:3" x14ac:dyDescent="0.25">
      <c r="B65" s="2">
        <v>7000000</v>
      </c>
      <c r="C65" s="3">
        <f t="shared" si="0"/>
        <v>96.901960800285138</v>
      </c>
    </row>
    <row r="66" spans="2:3" x14ac:dyDescent="0.25">
      <c r="B66" s="2">
        <v>8000000</v>
      </c>
      <c r="C66" s="3">
        <f t="shared" si="0"/>
        <v>98.061799739838875</v>
      </c>
    </row>
    <row r="67" spans="2:3" x14ac:dyDescent="0.25">
      <c r="B67" s="2">
        <v>9000000</v>
      </c>
      <c r="C67" s="3">
        <f t="shared" si="0"/>
        <v>99.084850188786504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51B2-490F-45B6-B04E-95CEDBDA9B31}">
  <dimension ref="B4:Q67"/>
  <sheetViews>
    <sheetView topLeftCell="B1" zoomScaleNormal="100" workbookViewId="0">
      <selection activeCell="F19" sqref="F19"/>
    </sheetView>
  </sheetViews>
  <sheetFormatPr baseColWidth="10" defaultRowHeight="15" x14ac:dyDescent="0.25"/>
  <cols>
    <col min="6" max="6" width="18.5703125" customWidth="1"/>
  </cols>
  <sheetData>
    <row r="4" spans="2:6" x14ac:dyDescent="0.25">
      <c r="B4" s="1" t="s">
        <v>0</v>
      </c>
      <c r="C4" s="1" t="s">
        <v>1</v>
      </c>
      <c r="E4" s="1" t="s">
        <v>0</v>
      </c>
      <c r="F4" s="1" t="s">
        <v>3</v>
      </c>
    </row>
    <row r="5" spans="2:6" x14ac:dyDescent="0.25">
      <c r="B5" s="2">
        <v>1</v>
      </c>
      <c r="C5" s="3">
        <f>10*LOG10(1+(B5/100)^2)</f>
        <v>4.3427276862664858E-4</v>
      </c>
      <c r="E5" s="2">
        <v>1</v>
      </c>
      <c r="F5" s="2">
        <f>IF(E5&lt;100,0,20*LOG10(E5)-40)</f>
        <v>0</v>
      </c>
    </row>
    <row r="6" spans="2:6" x14ac:dyDescent="0.25">
      <c r="B6" s="2">
        <v>2</v>
      </c>
      <c r="C6" s="3">
        <f t="shared" ref="C6:C66" si="0">10*LOG10(1+(B6/100)^2)</f>
        <v>1.7368305846489969E-3</v>
      </c>
      <c r="E6" s="2">
        <v>2</v>
      </c>
      <c r="F6" s="2">
        <f>IF(E6&lt;100,0,20*LOG10(E6)-40)</f>
        <v>0</v>
      </c>
    </row>
    <row r="7" spans="2:6" x14ac:dyDescent="0.25">
      <c r="B7" s="2">
        <v>3</v>
      </c>
      <c r="C7" s="3">
        <f t="shared" si="0"/>
        <v>3.9068924991008799E-3</v>
      </c>
      <c r="E7" s="2">
        <v>3</v>
      </c>
      <c r="F7" s="2">
        <f>IF(E7&lt;100,0,20*LOG10(E7)-40)</f>
        <v>0</v>
      </c>
    </row>
    <row r="8" spans="2:6" x14ac:dyDescent="0.25">
      <c r="B8" s="2">
        <v>4</v>
      </c>
      <c r="C8" s="3">
        <f t="shared" si="0"/>
        <v>6.9431586635448073E-3</v>
      </c>
      <c r="E8" s="2">
        <v>4</v>
      </c>
      <c r="F8" s="2">
        <f t="shared" ref="F8:F67" si="1">IF(E8&lt;100,0,20*LOG10(E8)-40)</f>
        <v>0</v>
      </c>
    </row>
    <row r="9" spans="2:6" x14ac:dyDescent="0.25">
      <c r="B9" s="2">
        <v>5</v>
      </c>
      <c r="C9" s="3">
        <f t="shared" si="0"/>
        <v>1.084381292219893E-2</v>
      </c>
      <c r="E9" s="2">
        <v>5</v>
      </c>
      <c r="F9" s="2">
        <f t="shared" si="1"/>
        <v>0</v>
      </c>
    </row>
    <row r="10" spans="2:6" x14ac:dyDescent="0.25">
      <c r="B10" s="2">
        <v>6</v>
      </c>
      <c r="C10" s="3">
        <f t="shared" si="0"/>
        <v>1.5606526425729409E-2</v>
      </c>
      <c r="E10" s="2">
        <v>6</v>
      </c>
      <c r="F10" s="2">
        <f>IF(E10&lt;100,0,20*LOG10(E10)-40)</f>
        <v>0</v>
      </c>
    </row>
    <row r="11" spans="2:6" x14ac:dyDescent="0.25">
      <c r="B11" s="2">
        <v>7</v>
      </c>
      <c r="C11" s="3">
        <f t="shared" si="0"/>
        <v>2.122846225161637E-2</v>
      </c>
      <c r="E11" s="2">
        <v>7</v>
      </c>
      <c r="F11" s="2">
        <f>IF(E11&lt;100,0,20*LOG10(E11)-40)</f>
        <v>0</v>
      </c>
    </row>
    <row r="12" spans="2:6" x14ac:dyDescent="0.25">
      <c r="B12" s="2">
        <v>8</v>
      </c>
      <c r="C12" s="3">
        <f t="shared" si="0"/>
        <v>2.7706281011936895E-2</v>
      </c>
      <c r="E12" s="2">
        <v>8</v>
      </c>
      <c r="F12" s="2">
        <f t="shared" si="1"/>
        <v>0</v>
      </c>
    </row>
    <row r="13" spans="2:6" x14ac:dyDescent="0.25">
      <c r="B13" s="2">
        <v>9</v>
      </c>
      <c r="C13" s="3">
        <f t="shared" si="0"/>
        <v>3.503614742536533E-2</v>
      </c>
      <c r="E13" s="2">
        <v>9</v>
      </c>
      <c r="F13" s="2">
        <f t="shared" si="1"/>
        <v>0</v>
      </c>
    </row>
    <row r="14" spans="2:6" x14ac:dyDescent="0.25">
      <c r="B14" s="2">
        <v>10</v>
      </c>
      <c r="C14" s="3">
        <f t="shared" si="0"/>
        <v>4.3213737826425784E-2</v>
      </c>
      <c r="E14" s="2">
        <v>10</v>
      </c>
      <c r="F14" s="2">
        <f t="shared" si="1"/>
        <v>0</v>
      </c>
    </row>
    <row r="15" spans="2:6" x14ac:dyDescent="0.25">
      <c r="B15" s="2" cm="1">
        <f t="array" ref="B15:B23">B6:B14*10</f>
        <v>20</v>
      </c>
      <c r="C15" s="3">
        <f t="shared" si="0"/>
        <v>0.1703333929878037</v>
      </c>
      <c r="E15" s="2" cm="1">
        <f t="array" ref="E15:E23">E6:E14*10</f>
        <v>20</v>
      </c>
      <c r="F15" s="2">
        <f t="shared" si="1"/>
        <v>0</v>
      </c>
    </row>
    <row r="16" spans="2:6" x14ac:dyDescent="0.25">
      <c r="B16" s="2">
        <v>30</v>
      </c>
      <c r="C16" s="3">
        <f>10*LOG10(1+(B16/100)^2)</f>
        <v>0.37426497940623665</v>
      </c>
      <c r="E16" s="2">
        <v>30</v>
      </c>
      <c r="F16" s="2">
        <f t="shared" si="1"/>
        <v>0</v>
      </c>
    </row>
    <row r="17" spans="2:17" x14ac:dyDescent="0.25">
      <c r="B17" s="2">
        <v>40</v>
      </c>
      <c r="C17" s="3">
        <f t="shared" si="0"/>
        <v>0.64457989226918533</v>
      </c>
      <c r="E17" s="2">
        <v>40</v>
      </c>
      <c r="F17" s="2">
        <f>IF(E17&lt;100,0,20*LOG10(E17)-40)</f>
        <v>0</v>
      </c>
      <c r="Q17" t="s">
        <v>2</v>
      </c>
    </row>
    <row r="18" spans="2:17" x14ac:dyDescent="0.25">
      <c r="B18" s="2">
        <v>50</v>
      </c>
      <c r="C18" s="3">
        <f t="shared" si="0"/>
        <v>0.96910013008056417</v>
      </c>
      <c r="E18" s="2">
        <v>50</v>
      </c>
      <c r="F18" s="2">
        <f>IF(E18&lt;100,0,20*LOG10(E18)-40)</f>
        <v>0</v>
      </c>
    </row>
    <row r="19" spans="2:17" x14ac:dyDescent="0.25">
      <c r="B19" s="2">
        <v>60</v>
      </c>
      <c r="C19" s="3">
        <f t="shared" si="0"/>
        <v>1.3353890837021747</v>
      </c>
      <c r="E19" s="2">
        <v>60</v>
      </c>
      <c r="F19" s="2">
        <f t="shared" si="1"/>
        <v>0</v>
      </c>
    </row>
    <row r="20" spans="2:17" x14ac:dyDescent="0.25">
      <c r="B20" s="2">
        <v>70</v>
      </c>
      <c r="C20" s="3">
        <f t="shared" si="0"/>
        <v>1.7318626841227402</v>
      </c>
      <c r="E20" s="2">
        <v>70</v>
      </c>
      <c r="F20" s="2">
        <f t="shared" si="1"/>
        <v>0</v>
      </c>
    </row>
    <row r="21" spans="2:17" x14ac:dyDescent="0.25">
      <c r="B21" s="2">
        <v>80</v>
      </c>
      <c r="C21" s="3">
        <f t="shared" si="0"/>
        <v>2.1484384804769792</v>
      </c>
      <c r="E21" s="2">
        <v>80</v>
      </c>
      <c r="F21" s="2">
        <f t="shared" si="1"/>
        <v>0</v>
      </c>
    </row>
    <row r="22" spans="2:17" x14ac:dyDescent="0.25">
      <c r="B22" s="2">
        <v>90</v>
      </c>
      <c r="C22" s="3">
        <f t="shared" si="0"/>
        <v>2.5767857486918451</v>
      </c>
      <c r="E22" s="2">
        <v>90</v>
      </c>
      <c r="F22" s="2">
        <f t="shared" si="1"/>
        <v>0</v>
      </c>
    </row>
    <row r="23" spans="2:17" x14ac:dyDescent="0.25">
      <c r="B23" s="2">
        <v>100</v>
      </c>
      <c r="C23" s="3">
        <f t="shared" si="0"/>
        <v>3.0102999566398121</v>
      </c>
      <c r="E23" s="2">
        <v>100</v>
      </c>
      <c r="F23" s="2">
        <f t="shared" si="1"/>
        <v>0</v>
      </c>
    </row>
    <row r="24" spans="2:17" x14ac:dyDescent="0.25">
      <c r="B24" s="2" cm="1">
        <f t="array" ref="B24:B32">_xlfn.ANCHORARRAY(B15)*10</f>
        <v>200</v>
      </c>
      <c r="C24" s="3">
        <f t="shared" si="0"/>
        <v>6.9897000433601884</v>
      </c>
      <c r="E24" s="2" cm="1">
        <f t="array" ref="E24:E32">_xlfn.ANCHORARRAY(E15)*10</f>
        <v>200</v>
      </c>
      <c r="F24" s="2">
        <f t="shared" si="1"/>
        <v>6.0205999132796251</v>
      </c>
    </row>
    <row r="25" spans="2:17" x14ac:dyDescent="0.25">
      <c r="B25" s="2">
        <v>300</v>
      </c>
      <c r="C25" s="4">
        <f t="shared" si="0"/>
        <v>10</v>
      </c>
      <c r="E25" s="2">
        <v>300</v>
      </c>
      <c r="F25" s="2">
        <f t="shared" si="1"/>
        <v>9.542425094393252</v>
      </c>
    </row>
    <row r="26" spans="2:17" x14ac:dyDescent="0.25">
      <c r="B26" s="2">
        <v>400</v>
      </c>
      <c r="C26" s="3">
        <f t="shared" si="0"/>
        <v>12.304489213782739</v>
      </c>
      <c r="E26" s="2">
        <v>400</v>
      </c>
      <c r="F26" s="2">
        <f t="shared" si="1"/>
        <v>12.04119982655925</v>
      </c>
    </row>
    <row r="27" spans="2:17" x14ac:dyDescent="0.25">
      <c r="B27" s="2">
        <v>500</v>
      </c>
      <c r="C27" s="3">
        <f t="shared" si="0"/>
        <v>14.14973347970818</v>
      </c>
      <c r="E27" s="2">
        <v>500</v>
      </c>
      <c r="F27" s="2">
        <f t="shared" si="1"/>
        <v>13.979400086720375</v>
      </c>
    </row>
    <row r="28" spans="2:17" x14ac:dyDescent="0.25">
      <c r="B28" s="2">
        <v>600</v>
      </c>
      <c r="C28" s="3">
        <f t="shared" si="0"/>
        <v>15.68201724066995</v>
      </c>
      <c r="E28" s="2">
        <v>600</v>
      </c>
      <c r="F28" s="2">
        <f t="shared" si="1"/>
        <v>15.56302500767287</v>
      </c>
    </row>
    <row r="29" spans="2:17" x14ac:dyDescent="0.25">
      <c r="B29" s="2">
        <v>700</v>
      </c>
      <c r="C29" s="3">
        <f t="shared" si="0"/>
        <v>16.989700043360187</v>
      </c>
      <c r="E29" s="2">
        <v>700</v>
      </c>
      <c r="F29" s="2">
        <f t="shared" si="1"/>
        <v>16.901960800285138</v>
      </c>
    </row>
    <row r="30" spans="2:17" x14ac:dyDescent="0.25">
      <c r="B30" s="2">
        <v>800</v>
      </c>
      <c r="C30" s="3">
        <f t="shared" si="0"/>
        <v>18.129133566428553</v>
      </c>
      <c r="E30" s="2">
        <v>800</v>
      </c>
      <c r="F30" s="2">
        <f t="shared" si="1"/>
        <v>18.061799739838875</v>
      </c>
    </row>
    <row r="31" spans="2:17" x14ac:dyDescent="0.25">
      <c r="B31" s="2">
        <v>900</v>
      </c>
      <c r="C31" s="3">
        <f t="shared" si="0"/>
        <v>19.138138523837167</v>
      </c>
      <c r="E31" s="2">
        <v>900</v>
      </c>
      <c r="F31" s="2">
        <f t="shared" si="1"/>
        <v>19.084850188786497</v>
      </c>
    </row>
    <row r="32" spans="2:17" x14ac:dyDescent="0.25">
      <c r="B32" s="2">
        <v>1000</v>
      </c>
      <c r="C32" s="3">
        <f t="shared" si="0"/>
        <v>20.043213737826427</v>
      </c>
      <c r="E32" s="2">
        <v>1000</v>
      </c>
      <c r="F32" s="2">
        <f t="shared" si="1"/>
        <v>20</v>
      </c>
    </row>
    <row r="33" spans="2:6" x14ac:dyDescent="0.25">
      <c r="B33" s="2" cm="1">
        <f t="array" ref="B33:B41">_xlfn.ANCHORARRAY(B24)*10</f>
        <v>2000</v>
      </c>
      <c r="C33" s="3">
        <f t="shared" si="0"/>
        <v>26.031443726201822</v>
      </c>
      <c r="E33" s="2" cm="1">
        <f t="array" ref="E33:E41">_xlfn.ANCHORARRAY(E24)*10</f>
        <v>2000</v>
      </c>
      <c r="F33" s="2">
        <f t="shared" si="1"/>
        <v>26.020599913279625</v>
      </c>
    </row>
    <row r="34" spans="2:6" x14ac:dyDescent="0.25">
      <c r="B34" s="2">
        <v>3000</v>
      </c>
      <c r="C34" s="3">
        <f t="shared" si="0"/>
        <v>29.547247909790627</v>
      </c>
      <c r="E34" s="2">
        <v>3000</v>
      </c>
      <c r="F34" s="2">
        <f t="shared" si="1"/>
        <v>29.542425094393252</v>
      </c>
    </row>
    <row r="35" spans="2:6" x14ac:dyDescent="0.25">
      <c r="B35" s="2">
        <v>4000</v>
      </c>
      <c r="C35" s="3">
        <f t="shared" si="0"/>
        <v>32.043913319192995</v>
      </c>
      <c r="E35" s="2">
        <v>4000</v>
      </c>
      <c r="F35" s="2">
        <f t="shared" si="1"/>
        <v>32.04119982655925</v>
      </c>
    </row>
    <row r="36" spans="2:6" x14ac:dyDescent="0.25">
      <c r="B36" s="2">
        <v>5000</v>
      </c>
      <c r="C36" s="3">
        <f t="shared" si="0"/>
        <v>33.981136917305022</v>
      </c>
      <c r="E36" s="2">
        <v>5000</v>
      </c>
      <c r="F36" s="2">
        <f t="shared" si="1"/>
        <v>33.979400086720375</v>
      </c>
    </row>
    <row r="37" spans="2:6" x14ac:dyDescent="0.25">
      <c r="B37" s="2">
        <v>6000</v>
      </c>
      <c r="C37" s="3">
        <f t="shared" si="0"/>
        <v>35.564231213712851</v>
      </c>
      <c r="E37" s="2">
        <v>6000</v>
      </c>
      <c r="F37" s="2">
        <f t="shared" si="1"/>
        <v>35.563025007672863</v>
      </c>
    </row>
    <row r="38" spans="2:6" x14ac:dyDescent="0.25">
      <c r="B38" s="2">
        <v>7000</v>
      </c>
      <c r="C38" s="3">
        <f t="shared" si="0"/>
        <v>36.902847025126292</v>
      </c>
      <c r="E38" s="2">
        <v>7000</v>
      </c>
      <c r="F38" s="2">
        <f t="shared" si="1"/>
        <v>36.901960800285138</v>
      </c>
    </row>
    <row r="39" spans="2:6" x14ac:dyDescent="0.25">
      <c r="B39" s="2">
        <v>8000</v>
      </c>
      <c r="C39" s="3">
        <f t="shared" si="0"/>
        <v>38.062478271957907</v>
      </c>
      <c r="E39" s="2">
        <v>8000</v>
      </c>
      <c r="F39" s="2">
        <f t="shared" si="1"/>
        <v>38.061799739838875</v>
      </c>
    </row>
    <row r="40" spans="2:6" x14ac:dyDescent="0.25">
      <c r="B40" s="2">
        <v>9000</v>
      </c>
      <c r="C40" s="3">
        <f t="shared" si="0"/>
        <v>39.085386321719596</v>
      </c>
      <c r="E40" s="2">
        <v>9000</v>
      </c>
      <c r="F40" s="2">
        <f t="shared" si="1"/>
        <v>39.08485018878649</v>
      </c>
    </row>
    <row r="41" spans="2:6" x14ac:dyDescent="0.25">
      <c r="B41" s="2">
        <v>10000</v>
      </c>
      <c r="C41" s="3">
        <f t="shared" si="0"/>
        <v>40.000434272768629</v>
      </c>
      <c r="E41" s="2">
        <v>10000</v>
      </c>
      <c r="F41" s="2">
        <f t="shared" si="1"/>
        <v>40</v>
      </c>
    </row>
    <row r="42" spans="2:6" x14ac:dyDescent="0.25">
      <c r="B42" s="2" cm="1">
        <f t="array" ref="B42:B50">_xlfn.ANCHORARRAY(B33)*10</f>
        <v>20000</v>
      </c>
      <c r="C42" s="3">
        <f t="shared" si="0"/>
        <v>46.020708485542954</v>
      </c>
      <c r="E42" s="2" cm="1">
        <f t="array" ref="E42:E50">_xlfn.ANCHORARRAY(E33)*10</f>
        <v>20000</v>
      </c>
      <c r="F42" s="2">
        <f t="shared" si="1"/>
        <v>46.020599913279625</v>
      </c>
    </row>
    <row r="43" spans="2:6" x14ac:dyDescent="0.25">
      <c r="B43" s="2">
        <v>30000</v>
      </c>
      <c r="C43" s="3">
        <f t="shared" si="0"/>
        <v>49.542473349067599</v>
      </c>
      <c r="E43" s="2">
        <v>30000</v>
      </c>
      <c r="F43" s="2">
        <f t="shared" si="1"/>
        <v>49.542425094393252</v>
      </c>
    </row>
    <row r="44" spans="2:6" x14ac:dyDescent="0.25">
      <c r="B44" s="2">
        <v>40000</v>
      </c>
      <c r="C44" s="3">
        <f t="shared" si="0"/>
        <v>52.041226969879546</v>
      </c>
      <c r="E44" s="2">
        <v>40000</v>
      </c>
      <c r="F44" s="2">
        <f t="shared" si="1"/>
        <v>52.04119982655925</v>
      </c>
    </row>
    <row r="45" spans="2:6" x14ac:dyDescent="0.25">
      <c r="B45" s="2">
        <v>50000</v>
      </c>
      <c r="C45" s="3">
        <f t="shared" si="0"/>
        <v>53.979417458464908</v>
      </c>
      <c r="E45" s="2">
        <v>50000</v>
      </c>
      <c r="F45" s="2">
        <f t="shared" si="1"/>
        <v>53.979400086720375</v>
      </c>
    </row>
    <row r="46" spans="2:6" x14ac:dyDescent="0.25">
      <c r="B46" s="2">
        <v>60000</v>
      </c>
      <c r="C46" s="3">
        <f t="shared" si="0"/>
        <v>55.563037071391726</v>
      </c>
      <c r="E46" s="2">
        <v>60000</v>
      </c>
      <c r="F46" s="2">
        <f t="shared" si="1"/>
        <v>55.563025007672877</v>
      </c>
    </row>
    <row r="47" spans="2:6" x14ac:dyDescent="0.25">
      <c r="B47" s="2">
        <v>70000</v>
      </c>
      <c r="C47" s="3">
        <f t="shared" si="0"/>
        <v>56.901969663428787</v>
      </c>
      <c r="E47" s="2">
        <v>70000</v>
      </c>
      <c r="F47" s="2">
        <f t="shared" si="1"/>
        <v>56.901960800285138</v>
      </c>
    </row>
    <row r="48" spans="2:6" x14ac:dyDescent="0.25">
      <c r="B48" s="2">
        <v>80000</v>
      </c>
      <c r="C48" s="3">
        <f t="shared" si="0"/>
        <v>58.061806525684851</v>
      </c>
      <c r="E48" s="2">
        <v>80000</v>
      </c>
      <c r="F48" s="2">
        <f t="shared" si="1"/>
        <v>58.061799739838875</v>
      </c>
    </row>
    <row r="49" spans="2:6" x14ac:dyDescent="0.25">
      <c r="B49" s="2">
        <v>90000</v>
      </c>
      <c r="C49" s="3">
        <f t="shared" si="0"/>
        <v>59.084855550443464</v>
      </c>
      <c r="E49" s="2">
        <v>90000</v>
      </c>
      <c r="F49" s="2">
        <f t="shared" si="1"/>
        <v>59.084850188786504</v>
      </c>
    </row>
    <row r="50" spans="2:6" x14ac:dyDescent="0.25">
      <c r="B50" s="2">
        <v>100000</v>
      </c>
      <c r="C50" s="3">
        <f t="shared" si="0"/>
        <v>60.000004342942646</v>
      </c>
      <c r="E50" s="2">
        <v>100000</v>
      </c>
      <c r="F50" s="2">
        <f t="shared" si="1"/>
        <v>60</v>
      </c>
    </row>
    <row r="51" spans="2:6" x14ac:dyDescent="0.25">
      <c r="B51" s="2" cm="1">
        <f t="array" ref="B51:B59">_xlfn.ANCHORARRAY(B42)*10</f>
        <v>200000</v>
      </c>
      <c r="C51" s="3">
        <f t="shared" si="0"/>
        <v>66.020600999015699</v>
      </c>
      <c r="E51" s="2" cm="1">
        <f t="array" ref="E51:E59">_xlfn.ANCHORARRAY(E42)*10</f>
        <v>200000</v>
      </c>
      <c r="F51" s="2">
        <f t="shared" si="1"/>
        <v>66.020599913279625</v>
      </c>
    </row>
    <row r="52" spans="2:6" x14ac:dyDescent="0.25">
      <c r="B52" s="2">
        <v>300000</v>
      </c>
      <c r="C52" s="3">
        <f t="shared" si="0"/>
        <v>69.542425576942648</v>
      </c>
      <c r="E52" s="2">
        <v>300000</v>
      </c>
      <c r="F52" s="2">
        <f t="shared" si="1"/>
        <v>69.542425094393252</v>
      </c>
    </row>
    <row r="53" spans="2:6" x14ac:dyDescent="0.25">
      <c r="B53" s="2">
        <v>400000</v>
      </c>
      <c r="C53" s="3">
        <f t="shared" si="0"/>
        <v>72.041200097993283</v>
      </c>
      <c r="E53" s="2">
        <v>400000</v>
      </c>
      <c r="F53" s="2">
        <f t="shared" si="1"/>
        <v>72.04119982655925</v>
      </c>
    </row>
    <row r="54" spans="2:6" x14ac:dyDescent="0.25">
      <c r="B54" s="2">
        <v>500000</v>
      </c>
      <c r="C54" s="3">
        <f t="shared" si="0"/>
        <v>73.979400260438155</v>
      </c>
      <c r="E54" s="2">
        <v>500000</v>
      </c>
      <c r="F54" s="2">
        <f t="shared" si="1"/>
        <v>73.979400086720375</v>
      </c>
    </row>
    <row r="55" spans="2:6" x14ac:dyDescent="0.25">
      <c r="B55" s="2">
        <v>600000</v>
      </c>
      <c r="C55" s="3">
        <f t="shared" si="0"/>
        <v>75.56302512831023</v>
      </c>
      <c r="E55" s="2">
        <v>600000</v>
      </c>
      <c r="F55" s="2">
        <f t="shared" si="1"/>
        <v>75.563025007672877</v>
      </c>
    </row>
    <row r="56" spans="2:6" x14ac:dyDescent="0.25">
      <c r="B56" s="2">
        <v>700000</v>
      </c>
      <c r="C56" s="3">
        <f t="shared" si="0"/>
        <v>76.901960888916662</v>
      </c>
      <c r="E56" s="2">
        <v>700000</v>
      </c>
      <c r="F56" s="2">
        <f t="shared" si="1"/>
        <v>76.901960800285138</v>
      </c>
    </row>
    <row r="57" spans="2:6" x14ac:dyDescent="0.25">
      <c r="B57" s="2">
        <v>800000</v>
      </c>
      <c r="C57" s="3">
        <f t="shared" si="0"/>
        <v>78.061799807697383</v>
      </c>
      <c r="E57" s="2">
        <v>800000</v>
      </c>
      <c r="F57" s="2">
        <f t="shared" si="1"/>
        <v>78.061799739838875</v>
      </c>
    </row>
    <row r="58" spans="2:6" x14ac:dyDescent="0.25">
      <c r="B58" s="2">
        <v>900000</v>
      </c>
      <c r="C58" s="3">
        <f t="shared" si="0"/>
        <v>79.084850242403093</v>
      </c>
      <c r="E58" s="2">
        <v>900000</v>
      </c>
      <c r="F58" s="2">
        <f t="shared" si="1"/>
        <v>79.084850188786504</v>
      </c>
    </row>
    <row r="59" spans="2:6" x14ac:dyDescent="0.25">
      <c r="B59" s="2">
        <v>1000000</v>
      </c>
      <c r="C59" s="3">
        <f t="shared" si="0"/>
        <v>80.000000043429452</v>
      </c>
      <c r="E59" s="2">
        <v>1000000</v>
      </c>
      <c r="F59" s="2">
        <f t="shared" si="1"/>
        <v>80</v>
      </c>
    </row>
    <row r="60" spans="2:6" x14ac:dyDescent="0.25">
      <c r="B60" s="2" cm="1">
        <f t="array" ref="B60:B67">B51:B58*10</f>
        <v>2000000</v>
      </c>
      <c r="C60" s="3">
        <f t="shared" si="0"/>
        <v>86.020599924136988</v>
      </c>
      <c r="E60" s="2" cm="1">
        <f t="array" ref="E60:E67">E51:E58*10</f>
        <v>2000000</v>
      </c>
      <c r="F60" s="2">
        <f t="shared" si="1"/>
        <v>86.020599913279625</v>
      </c>
    </row>
    <row r="61" spans="2:6" x14ac:dyDescent="0.25">
      <c r="B61" s="2">
        <v>3000000</v>
      </c>
      <c r="C61" s="3">
        <f t="shared" si="0"/>
        <v>89.542425099218747</v>
      </c>
      <c r="E61" s="2">
        <v>3000000</v>
      </c>
      <c r="F61" s="2">
        <f t="shared" si="1"/>
        <v>89.542425094393252</v>
      </c>
    </row>
    <row r="62" spans="2:6" x14ac:dyDescent="0.25">
      <c r="B62" s="2">
        <v>4000000</v>
      </c>
      <c r="C62" s="3">
        <f t="shared" si="0"/>
        <v>92.041199829273594</v>
      </c>
      <c r="E62" s="2">
        <v>4000000</v>
      </c>
      <c r="F62" s="2">
        <f t="shared" si="1"/>
        <v>92.04119982655925</v>
      </c>
    </row>
    <row r="63" spans="2:6" x14ac:dyDescent="0.25">
      <c r="B63" s="2">
        <v>5000000</v>
      </c>
      <c r="C63" s="3">
        <f t="shared" si="0"/>
        <v>93.979400088457538</v>
      </c>
      <c r="E63" s="2">
        <v>5000000</v>
      </c>
      <c r="F63" s="2">
        <f t="shared" si="1"/>
        <v>93.979400086720375</v>
      </c>
    </row>
    <row r="64" spans="2:6" x14ac:dyDescent="0.25">
      <c r="B64" s="2">
        <v>6000000</v>
      </c>
      <c r="C64" s="3">
        <f t="shared" si="0"/>
        <v>95.563025008879251</v>
      </c>
      <c r="E64" s="2">
        <v>6000000</v>
      </c>
      <c r="F64" s="2">
        <f t="shared" si="1"/>
        <v>95.563025007672877</v>
      </c>
    </row>
    <row r="65" spans="2:6" x14ac:dyDescent="0.25">
      <c r="B65" s="2">
        <v>7000000</v>
      </c>
      <c r="C65" s="3">
        <f t="shared" si="0"/>
        <v>96.901960801171455</v>
      </c>
      <c r="E65" s="2">
        <v>7000000</v>
      </c>
      <c r="F65" s="2">
        <f t="shared" si="1"/>
        <v>96.901960800285138</v>
      </c>
    </row>
    <row r="66" spans="2:6" x14ac:dyDescent="0.25">
      <c r="B66" s="2">
        <v>8000000</v>
      </c>
      <c r="C66" s="3">
        <f t="shared" si="0"/>
        <v>98.061799740517458</v>
      </c>
      <c r="E66" s="2">
        <v>8000000</v>
      </c>
      <c r="F66" s="2">
        <f t="shared" si="1"/>
        <v>98.061799739838875</v>
      </c>
    </row>
    <row r="67" spans="2:6" x14ac:dyDescent="0.25">
      <c r="B67" s="2">
        <v>9000000</v>
      </c>
      <c r="C67" s="3">
        <f>10*LOG10(1+(B67/100)^2)</f>
        <v>99.084850189322665</v>
      </c>
      <c r="E67" s="2">
        <v>9000000</v>
      </c>
      <c r="F67" s="2">
        <f t="shared" si="1"/>
        <v>99.084850188786504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C142-2ADE-471E-8D1C-9C795D15E50A}">
  <dimension ref="B4:F67"/>
  <sheetViews>
    <sheetView workbookViewId="0">
      <selection activeCell="C8" sqref="C8"/>
    </sheetView>
  </sheetViews>
  <sheetFormatPr baseColWidth="10" defaultRowHeight="15" x14ac:dyDescent="0.25"/>
  <cols>
    <col min="6" max="6" width="15.5703125" customWidth="1"/>
  </cols>
  <sheetData>
    <row r="4" spans="2:6" x14ac:dyDescent="0.25">
      <c r="B4" s="1" t="s">
        <v>0</v>
      </c>
      <c r="C4" s="1" t="s">
        <v>4</v>
      </c>
      <c r="E4" s="1" t="s">
        <v>0</v>
      </c>
      <c r="F4" s="1" t="s">
        <v>3</v>
      </c>
    </row>
    <row r="5" spans="2:6" x14ac:dyDescent="0.25">
      <c r="B5" s="2">
        <v>1</v>
      </c>
      <c r="C5" s="3">
        <f>ATAN((B5/100)/1)</f>
        <v>9.9996666866652376E-3</v>
      </c>
      <c r="E5" s="2">
        <v>1</v>
      </c>
      <c r="F5" s="3">
        <f>IF(E5&lt;100,0,PI()/2)</f>
        <v>0</v>
      </c>
    </row>
    <row r="6" spans="2:6" x14ac:dyDescent="0.25">
      <c r="B6" s="2">
        <v>2</v>
      </c>
      <c r="C6" s="3">
        <f t="shared" ref="C6:C67" si="0">ATAN((B6/100)/1)</f>
        <v>1.9997333973150535E-2</v>
      </c>
      <c r="E6" s="2">
        <v>2</v>
      </c>
      <c r="F6" s="3">
        <f>IF(E6&lt;100,0,PI()/2)</f>
        <v>0</v>
      </c>
    </row>
    <row r="7" spans="2:6" x14ac:dyDescent="0.25">
      <c r="B7" s="2">
        <v>3</v>
      </c>
      <c r="C7" s="3">
        <f>ATAN((B7/100)/1)</f>
        <v>2.99910048568779E-2</v>
      </c>
      <c r="E7" s="2">
        <v>3</v>
      </c>
      <c r="F7" s="3">
        <f t="shared" ref="F7:F67" si="1">IF(E7&lt;100,0,PI()/2)</f>
        <v>0</v>
      </c>
    </row>
    <row r="8" spans="2:6" x14ac:dyDescent="0.25">
      <c r="B8" s="2">
        <v>4</v>
      </c>
      <c r="C8" s="3">
        <f t="shared" si="0"/>
        <v>3.9978687123290044E-2</v>
      </c>
      <c r="E8" s="2">
        <v>4</v>
      </c>
      <c r="F8" s="3">
        <f t="shared" si="1"/>
        <v>0</v>
      </c>
    </row>
    <row r="9" spans="2:6" x14ac:dyDescent="0.25">
      <c r="B9" s="2">
        <v>5</v>
      </c>
      <c r="C9" s="3">
        <f t="shared" si="0"/>
        <v>4.9958395721942765E-2</v>
      </c>
      <c r="E9" s="2">
        <v>5</v>
      </c>
      <c r="F9" s="3">
        <f t="shared" si="1"/>
        <v>0</v>
      </c>
    </row>
    <row r="10" spans="2:6" x14ac:dyDescent="0.25">
      <c r="B10" s="2">
        <v>6</v>
      </c>
      <c r="C10" s="3">
        <f t="shared" si="0"/>
        <v>5.9928155121207881E-2</v>
      </c>
      <c r="E10" s="2">
        <v>6</v>
      </c>
      <c r="F10" s="3">
        <f>IF(E10&lt;100,0,PI()/2)</f>
        <v>0</v>
      </c>
    </row>
    <row r="11" spans="2:6" x14ac:dyDescent="0.25">
      <c r="B11" s="2">
        <v>7</v>
      </c>
      <c r="C11" s="3">
        <f t="shared" si="0"/>
        <v>6.9886001634642508E-2</v>
      </c>
      <c r="E11" s="2">
        <v>7</v>
      </c>
      <c r="F11" s="3">
        <f>IF(E11&lt;100,0,PI()/2)</f>
        <v>0</v>
      </c>
    </row>
    <row r="12" spans="2:6" x14ac:dyDescent="0.25">
      <c r="B12" s="2">
        <v>8</v>
      </c>
      <c r="C12" s="3">
        <f t="shared" si="0"/>
        <v>7.9829985712237317E-2</v>
      </c>
      <c r="E12" s="2">
        <v>8</v>
      </c>
      <c r="F12" s="3">
        <f t="shared" si="1"/>
        <v>0</v>
      </c>
    </row>
    <row r="13" spans="2:6" x14ac:dyDescent="0.25">
      <c r="B13" s="2">
        <v>9</v>
      </c>
      <c r="C13" s="3">
        <f t="shared" si="0"/>
        <v>8.9758174189950524E-2</v>
      </c>
      <c r="E13" s="2">
        <v>9</v>
      </c>
      <c r="F13" s="3">
        <f t="shared" si="1"/>
        <v>0</v>
      </c>
    </row>
    <row r="14" spans="2:6" x14ac:dyDescent="0.25">
      <c r="B14" s="2">
        <v>10</v>
      </c>
      <c r="C14" s="3">
        <f t="shared" si="0"/>
        <v>9.9668652491162038E-2</v>
      </c>
      <c r="E14" s="2">
        <v>10</v>
      </c>
      <c r="F14" s="3">
        <f t="shared" si="1"/>
        <v>0</v>
      </c>
    </row>
    <row r="15" spans="2:6" x14ac:dyDescent="0.25">
      <c r="B15" s="2" cm="1">
        <f t="array" ref="B15:B23">B6:B14*10</f>
        <v>20</v>
      </c>
      <c r="C15" s="3">
        <f t="shared" si="0"/>
        <v>0.19739555984988078</v>
      </c>
      <c r="E15" s="2" cm="1">
        <f t="array" ref="E15:E23">E6:E14*10</f>
        <v>20</v>
      </c>
      <c r="F15" s="3">
        <f t="shared" si="1"/>
        <v>0</v>
      </c>
    </row>
    <row r="16" spans="2:6" x14ac:dyDescent="0.25">
      <c r="B16" s="2">
        <v>30</v>
      </c>
      <c r="C16" s="3">
        <f t="shared" si="0"/>
        <v>0.2914567944778671</v>
      </c>
      <c r="E16" s="2">
        <v>30</v>
      </c>
      <c r="F16" s="3">
        <f t="shared" si="1"/>
        <v>0</v>
      </c>
    </row>
    <row r="17" spans="2:6" x14ac:dyDescent="0.25">
      <c r="B17" s="2">
        <v>40</v>
      </c>
      <c r="C17" s="3">
        <f t="shared" si="0"/>
        <v>0.3805063771123649</v>
      </c>
      <c r="E17" s="2">
        <v>40</v>
      </c>
      <c r="F17" s="3">
        <f t="shared" si="1"/>
        <v>0</v>
      </c>
    </row>
    <row r="18" spans="2:6" x14ac:dyDescent="0.25">
      <c r="B18" s="2">
        <v>50</v>
      </c>
      <c r="C18" s="3">
        <f t="shared" si="0"/>
        <v>0.46364760900080609</v>
      </c>
      <c r="E18" s="2">
        <v>50</v>
      </c>
      <c r="F18" s="3">
        <f>IF(E18&lt;100,0,PI()/2)</f>
        <v>0</v>
      </c>
    </row>
    <row r="19" spans="2:6" x14ac:dyDescent="0.25">
      <c r="B19" s="2">
        <v>60</v>
      </c>
      <c r="C19" s="3">
        <f>ATAN((B19/100)/1)</f>
        <v>0.54041950027058416</v>
      </c>
      <c r="E19" s="2">
        <v>60</v>
      </c>
      <c r="F19" s="3">
        <f t="shared" si="1"/>
        <v>0</v>
      </c>
    </row>
    <row r="20" spans="2:6" x14ac:dyDescent="0.25">
      <c r="B20" s="2">
        <v>70</v>
      </c>
      <c r="C20" s="3">
        <f t="shared" si="0"/>
        <v>0.61072596438920856</v>
      </c>
      <c r="E20" s="2">
        <v>70</v>
      </c>
      <c r="F20" s="3">
        <f t="shared" si="1"/>
        <v>0</v>
      </c>
    </row>
    <row r="21" spans="2:6" x14ac:dyDescent="0.25">
      <c r="B21" s="2">
        <v>80</v>
      </c>
      <c r="C21" s="3">
        <f t="shared" si="0"/>
        <v>0.67474094222355274</v>
      </c>
      <c r="E21" s="2">
        <v>80</v>
      </c>
      <c r="F21" s="3">
        <f t="shared" si="1"/>
        <v>0</v>
      </c>
    </row>
    <row r="22" spans="2:6" x14ac:dyDescent="0.25">
      <c r="B22" s="2">
        <v>90</v>
      </c>
      <c r="C22" s="3">
        <f t="shared" si="0"/>
        <v>0.73281510178650655</v>
      </c>
      <c r="E22" s="2">
        <v>90</v>
      </c>
      <c r="F22" s="3">
        <f t="shared" si="1"/>
        <v>0</v>
      </c>
    </row>
    <row r="23" spans="2:6" x14ac:dyDescent="0.25">
      <c r="B23" s="2">
        <v>100</v>
      </c>
      <c r="C23" s="3">
        <f t="shared" si="0"/>
        <v>0.78539816339744828</v>
      </c>
      <c r="E23" s="2">
        <v>100</v>
      </c>
      <c r="F23" s="3">
        <f t="shared" si="1"/>
        <v>1.5707963267948966</v>
      </c>
    </row>
    <row r="24" spans="2:6" x14ac:dyDescent="0.25">
      <c r="B24" s="2" cm="1">
        <f t="array" ref="B24:B32">_xlfn.ANCHORARRAY(B15)*10</f>
        <v>200</v>
      </c>
      <c r="C24" s="3">
        <f t="shared" si="0"/>
        <v>1.1071487177940904</v>
      </c>
      <c r="E24" s="2" cm="1">
        <f t="array" ref="E24:E32">_xlfn.ANCHORARRAY(E15)*10</f>
        <v>200</v>
      </c>
      <c r="F24" s="3">
        <f t="shared" si="1"/>
        <v>1.5707963267948966</v>
      </c>
    </row>
    <row r="25" spans="2:6" x14ac:dyDescent="0.25">
      <c r="B25" s="2">
        <v>300</v>
      </c>
      <c r="C25" s="3">
        <f t="shared" si="0"/>
        <v>1.2490457723982544</v>
      </c>
      <c r="E25" s="2">
        <v>300</v>
      </c>
      <c r="F25" s="3">
        <f t="shared" si="1"/>
        <v>1.5707963267948966</v>
      </c>
    </row>
    <row r="26" spans="2:6" x14ac:dyDescent="0.25">
      <c r="B26" s="2">
        <v>400</v>
      </c>
      <c r="C26" s="3">
        <f t="shared" si="0"/>
        <v>1.3258176636680326</v>
      </c>
      <c r="E26" s="2">
        <v>400</v>
      </c>
      <c r="F26" s="3">
        <f t="shared" si="1"/>
        <v>1.5707963267948966</v>
      </c>
    </row>
    <row r="27" spans="2:6" x14ac:dyDescent="0.25">
      <c r="B27" s="2">
        <v>500</v>
      </c>
      <c r="C27" s="3">
        <f t="shared" si="0"/>
        <v>1.3734007669450159</v>
      </c>
      <c r="E27" s="2">
        <v>500</v>
      </c>
      <c r="F27" s="3">
        <f t="shared" si="1"/>
        <v>1.5707963267948966</v>
      </c>
    </row>
    <row r="28" spans="2:6" x14ac:dyDescent="0.25">
      <c r="B28" s="2">
        <v>600</v>
      </c>
      <c r="C28" s="3">
        <f t="shared" si="0"/>
        <v>1.4056476493802699</v>
      </c>
      <c r="E28" s="2">
        <v>600</v>
      </c>
      <c r="F28" s="3">
        <f t="shared" si="1"/>
        <v>1.5707963267948966</v>
      </c>
    </row>
    <row r="29" spans="2:6" x14ac:dyDescent="0.25">
      <c r="B29" s="2">
        <v>700</v>
      </c>
      <c r="C29" s="3">
        <f t="shared" si="0"/>
        <v>1.4288992721907328</v>
      </c>
      <c r="E29" s="2">
        <v>700</v>
      </c>
      <c r="F29" s="3">
        <f t="shared" si="1"/>
        <v>1.5707963267948966</v>
      </c>
    </row>
    <row r="30" spans="2:6" x14ac:dyDescent="0.25">
      <c r="B30" s="2">
        <v>800</v>
      </c>
      <c r="C30" s="3">
        <f t="shared" si="0"/>
        <v>1.4464413322481351</v>
      </c>
      <c r="E30" s="2">
        <v>800</v>
      </c>
      <c r="F30" s="3">
        <f t="shared" si="1"/>
        <v>1.5707963267948966</v>
      </c>
    </row>
    <row r="31" spans="2:6" x14ac:dyDescent="0.25">
      <c r="B31" s="2">
        <v>900</v>
      </c>
      <c r="C31" s="3">
        <f t="shared" si="0"/>
        <v>1.4601391056210009</v>
      </c>
      <c r="E31" s="2">
        <v>900</v>
      </c>
      <c r="F31" s="3">
        <f t="shared" si="1"/>
        <v>1.5707963267948966</v>
      </c>
    </row>
    <row r="32" spans="2:6" x14ac:dyDescent="0.25">
      <c r="B32" s="2">
        <v>1000</v>
      </c>
      <c r="C32" s="3">
        <f t="shared" si="0"/>
        <v>1.4711276743037347</v>
      </c>
      <c r="E32" s="2">
        <v>1000</v>
      </c>
      <c r="F32" s="3">
        <f t="shared" si="1"/>
        <v>1.5707963267948966</v>
      </c>
    </row>
    <row r="33" spans="2:6" x14ac:dyDescent="0.25">
      <c r="B33" s="2" cm="1">
        <f t="array" ref="B33:B41">_xlfn.ANCHORARRAY(B24)*10</f>
        <v>2000</v>
      </c>
      <c r="C33" s="3">
        <f t="shared" si="0"/>
        <v>1.5208379310729538</v>
      </c>
      <c r="E33" s="2" cm="1">
        <f t="array" ref="E33:E41">_xlfn.ANCHORARRAY(E24)*10</f>
        <v>2000</v>
      </c>
      <c r="F33" s="3">
        <f t="shared" si="1"/>
        <v>1.5707963267948966</v>
      </c>
    </row>
    <row r="34" spans="2:6" x14ac:dyDescent="0.25">
      <c r="B34" s="2">
        <v>3000</v>
      </c>
      <c r="C34" s="3">
        <f t="shared" si="0"/>
        <v>1.5374753309166493</v>
      </c>
      <c r="E34" s="2">
        <v>3000</v>
      </c>
      <c r="F34" s="3">
        <f t="shared" si="1"/>
        <v>1.5707963267948966</v>
      </c>
    </row>
    <row r="35" spans="2:6" x14ac:dyDescent="0.25">
      <c r="B35" s="2">
        <v>4000</v>
      </c>
      <c r="C35" s="3">
        <f t="shared" si="0"/>
        <v>1.5458015331759765</v>
      </c>
      <c r="E35" s="2">
        <v>4000</v>
      </c>
      <c r="F35" s="3">
        <f t="shared" si="1"/>
        <v>1.5707963267948966</v>
      </c>
    </row>
    <row r="36" spans="2:6" x14ac:dyDescent="0.25">
      <c r="B36" s="2">
        <v>5000</v>
      </c>
      <c r="C36" s="3">
        <f t="shared" si="0"/>
        <v>1.550798992821746</v>
      </c>
      <c r="E36" s="2">
        <v>5000</v>
      </c>
      <c r="F36" s="3">
        <f t="shared" si="1"/>
        <v>1.5707963267948966</v>
      </c>
    </row>
    <row r="37" spans="2:6" x14ac:dyDescent="0.25">
      <c r="B37" s="2">
        <v>6000</v>
      </c>
      <c r="C37" s="3">
        <f t="shared" si="0"/>
        <v>1.554131203080956</v>
      </c>
      <c r="E37" s="2">
        <v>6000</v>
      </c>
      <c r="F37" s="3">
        <f t="shared" si="1"/>
        <v>1.5707963267948966</v>
      </c>
    </row>
    <row r="38" spans="2:6" x14ac:dyDescent="0.25">
      <c r="B38" s="2">
        <v>7000</v>
      </c>
      <c r="C38" s="3">
        <f t="shared" si="0"/>
        <v>1.5565115842074999</v>
      </c>
      <c r="E38" s="2">
        <v>7000</v>
      </c>
      <c r="F38" s="3">
        <f t="shared" si="1"/>
        <v>1.5707963267948966</v>
      </c>
    </row>
    <row r="39" spans="2:6" x14ac:dyDescent="0.25">
      <c r="B39" s="2">
        <v>8000</v>
      </c>
      <c r="C39" s="3">
        <f t="shared" si="0"/>
        <v>1.5582969777755349</v>
      </c>
      <c r="E39" s="2">
        <v>8000</v>
      </c>
      <c r="F39" s="3">
        <f t="shared" si="1"/>
        <v>1.5707963267948966</v>
      </c>
    </row>
    <row r="40" spans="2:6" x14ac:dyDescent="0.25">
      <c r="B40" s="2">
        <v>9000</v>
      </c>
      <c r="C40" s="3">
        <f t="shared" si="0"/>
        <v>1.5596856728972892</v>
      </c>
      <c r="E40" s="2">
        <v>9000</v>
      </c>
      <c r="F40" s="3">
        <f t="shared" si="1"/>
        <v>1.5707963267948966</v>
      </c>
    </row>
    <row r="41" spans="2:6" x14ac:dyDescent="0.25">
      <c r="B41" s="2">
        <v>10000</v>
      </c>
      <c r="C41" s="3">
        <f t="shared" si="0"/>
        <v>1.5607966601082315</v>
      </c>
      <c r="E41" s="2">
        <v>10000</v>
      </c>
      <c r="F41" s="3">
        <f t="shared" si="1"/>
        <v>1.5707963267948966</v>
      </c>
    </row>
    <row r="42" spans="2:6" x14ac:dyDescent="0.25">
      <c r="B42" s="2" cm="1">
        <f t="array" ref="B42:B50">_xlfn.ANCHORARRAY(B33)*10</f>
        <v>20000</v>
      </c>
      <c r="C42" s="3">
        <f t="shared" si="0"/>
        <v>1.5657963684609384</v>
      </c>
      <c r="E42" s="2" cm="1">
        <f t="array" ref="E42:E50">_xlfn.ANCHORARRAY(E33)*10</f>
        <v>20000</v>
      </c>
      <c r="F42" s="3">
        <f t="shared" si="1"/>
        <v>1.5707963267948966</v>
      </c>
    </row>
    <row r="43" spans="2:6" x14ac:dyDescent="0.25">
      <c r="B43" s="2">
        <v>30000</v>
      </c>
      <c r="C43" s="3">
        <f t="shared" si="0"/>
        <v>1.5674630058071599</v>
      </c>
      <c r="E43" s="2">
        <v>30000</v>
      </c>
      <c r="F43" s="3">
        <f t="shared" si="1"/>
        <v>1.5707963267948966</v>
      </c>
    </row>
    <row r="44" spans="2:6" x14ac:dyDescent="0.25">
      <c r="B44" s="2">
        <v>40000</v>
      </c>
      <c r="C44" s="3">
        <f t="shared" si="0"/>
        <v>1.5682963320032104</v>
      </c>
      <c r="E44" s="2">
        <v>40000</v>
      </c>
      <c r="F44" s="3">
        <f t="shared" si="1"/>
        <v>1.5707963267948966</v>
      </c>
    </row>
    <row r="45" spans="2:6" x14ac:dyDescent="0.25">
      <c r="B45" s="2">
        <v>50000</v>
      </c>
      <c r="C45" s="3">
        <f t="shared" si="0"/>
        <v>1.5687963294615568</v>
      </c>
      <c r="E45" s="2">
        <v>50000</v>
      </c>
      <c r="F45" s="3">
        <f t="shared" si="1"/>
        <v>1.5707963267948966</v>
      </c>
    </row>
    <row r="46" spans="2:6" x14ac:dyDescent="0.25">
      <c r="B46" s="2">
        <v>60000</v>
      </c>
      <c r="C46" s="3">
        <f t="shared" si="0"/>
        <v>1.5691296616714372</v>
      </c>
      <c r="E46" s="2">
        <v>60000</v>
      </c>
      <c r="F46" s="3">
        <f t="shared" si="1"/>
        <v>1.5707963267948966</v>
      </c>
    </row>
    <row r="47" spans="2:6" x14ac:dyDescent="0.25">
      <c r="B47" s="2">
        <v>70000</v>
      </c>
      <c r="C47" s="3">
        <f t="shared" si="0"/>
        <v>1.5693677563381414</v>
      </c>
      <c r="E47" s="2">
        <v>70000</v>
      </c>
      <c r="F47" s="3">
        <f t="shared" si="1"/>
        <v>1.5707963267948966</v>
      </c>
    </row>
    <row r="48" spans="2:6" x14ac:dyDescent="0.25">
      <c r="B48" s="2">
        <v>80000</v>
      </c>
      <c r="C48" s="3">
        <f t="shared" si="0"/>
        <v>1.5695463274459376</v>
      </c>
      <c r="E48" s="2">
        <v>80000</v>
      </c>
      <c r="F48" s="3">
        <f t="shared" si="1"/>
        <v>1.5707963267948966</v>
      </c>
    </row>
    <row r="49" spans="2:6" x14ac:dyDescent="0.25">
      <c r="B49" s="2">
        <v>90000</v>
      </c>
      <c r="C49" s="3">
        <f t="shared" si="0"/>
        <v>1.5696852161410326</v>
      </c>
      <c r="E49" s="2">
        <v>90000</v>
      </c>
      <c r="F49" s="3">
        <f t="shared" si="1"/>
        <v>1.5707963267948966</v>
      </c>
    </row>
    <row r="50" spans="2:6" x14ac:dyDescent="0.25">
      <c r="B50" s="2">
        <v>100000</v>
      </c>
      <c r="C50" s="3">
        <f t="shared" si="0"/>
        <v>1.5697963271282298</v>
      </c>
      <c r="E50" s="2">
        <v>100000</v>
      </c>
      <c r="F50" s="3">
        <f t="shared" si="1"/>
        <v>1.5707963267948966</v>
      </c>
    </row>
    <row r="51" spans="2:6" x14ac:dyDescent="0.25">
      <c r="B51" s="2" cm="1">
        <f t="array" ref="B51:B59">_xlfn.ANCHORARRAY(B42)*10</f>
        <v>200000</v>
      </c>
      <c r="C51" s="3">
        <f t="shared" si="0"/>
        <v>1.5702963268365633</v>
      </c>
      <c r="E51" s="2" cm="1">
        <f t="array" ref="E51:E59">_xlfn.ANCHORARRAY(E42)*10</f>
        <v>200000</v>
      </c>
      <c r="F51" s="3">
        <f t="shared" si="1"/>
        <v>1.5707963267948966</v>
      </c>
    </row>
    <row r="52" spans="2:6" x14ac:dyDescent="0.25">
      <c r="B52" s="2">
        <v>300000</v>
      </c>
      <c r="C52" s="3">
        <f t="shared" si="0"/>
        <v>1.5704629934739089</v>
      </c>
      <c r="E52" s="2">
        <v>300000</v>
      </c>
      <c r="F52" s="3">
        <f t="shared" si="1"/>
        <v>1.5707963267948966</v>
      </c>
    </row>
    <row r="53" spans="2:6" x14ac:dyDescent="0.25">
      <c r="B53" s="2">
        <v>400000</v>
      </c>
      <c r="C53" s="3">
        <f t="shared" si="0"/>
        <v>1.570546326800105</v>
      </c>
      <c r="E53" s="2">
        <v>400000</v>
      </c>
      <c r="F53" s="3">
        <f t="shared" si="1"/>
        <v>1.5707963267948966</v>
      </c>
    </row>
    <row r="54" spans="2:6" x14ac:dyDescent="0.25">
      <c r="B54" s="2">
        <v>500000</v>
      </c>
      <c r="C54" s="3">
        <f t="shared" si="0"/>
        <v>1.5705963267975633</v>
      </c>
      <c r="E54" s="2">
        <v>500000</v>
      </c>
      <c r="F54" s="3">
        <f t="shared" si="1"/>
        <v>1.5707963267948966</v>
      </c>
    </row>
    <row r="55" spans="2:6" x14ac:dyDescent="0.25">
      <c r="B55" s="2">
        <v>600000</v>
      </c>
      <c r="C55" s="3">
        <f t="shared" si="0"/>
        <v>1.5706296601297731</v>
      </c>
      <c r="E55" s="2">
        <v>600000</v>
      </c>
      <c r="F55" s="3">
        <f t="shared" si="1"/>
        <v>1.5707963267948966</v>
      </c>
    </row>
    <row r="56" spans="2:6" x14ac:dyDescent="0.25">
      <c r="B56" s="2">
        <v>700000</v>
      </c>
      <c r="C56" s="3">
        <f t="shared" si="0"/>
        <v>1.5706534696530112</v>
      </c>
      <c r="E56" s="2">
        <v>700000</v>
      </c>
      <c r="F56" s="3">
        <f t="shared" si="1"/>
        <v>1.5707963267948966</v>
      </c>
    </row>
    <row r="57" spans="2:6" x14ac:dyDescent="0.25">
      <c r="B57" s="2">
        <v>800000</v>
      </c>
      <c r="C57" s="3">
        <f t="shared" si="0"/>
        <v>1.5706713267955477</v>
      </c>
      <c r="E57" s="2">
        <v>800000</v>
      </c>
      <c r="F57" s="3">
        <f t="shared" si="1"/>
        <v>1.5707963267948966</v>
      </c>
    </row>
    <row r="58" spans="2:6" x14ac:dyDescent="0.25">
      <c r="B58" s="2">
        <v>900000</v>
      </c>
      <c r="C58" s="3">
        <f t="shared" si="0"/>
        <v>1.5706852156842428</v>
      </c>
      <c r="E58" s="2">
        <v>900000</v>
      </c>
      <c r="F58" s="3">
        <f t="shared" si="1"/>
        <v>1.5707963267948966</v>
      </c>
    </row>
    <row r="59" spans="2:6" x14ac:dyDescent="0.25">
      <c r="B59" s="2">
        <v>1000000</v>
      </c>
      <c r="C59" s="3">
        <f t="shared" si="0"/>
        <v>1.5706963267952299</v>
      </c>
      <c r="E59" s="2">
        <v>1000000</v>
      </c>
      <c r="F59" s="3">
        <f t="shared" si="1"/>
        <v>1.5707963267948966</v>
      </c>
    </row>
    <row r="60" spans="2:6" x14ac:dyDescent="0.25">
      <c r="B60" s="2" cm="1">
        <f t="array" ref="B60:B67">B51:B58*10</f>
        <v>2000000</v>
      </c>
      <c r="C60" s="3">
        <f t="shared" si="0"/>
        <v>1.5707463267949382</v>
      </c>
      <c r="E60" s="2" cm="1">
        <f t="array" ref="E60:E67">E51:E58*10</f>
        <v>2000000</v>
      </c>
      <c r="F60" s="3">
        <f t="shared" si="1"/>
        <v>1.5707963267948966</v>
      </c>
    </row>
    <row r="61" spans="2:6" x14ac:dyDescent="0.25">
      <c r="B61" s="2">
        <v>3000000</v>
      </c>
      <c r="C61" s="3">
        <f t="shared" si="0"/>
        <v>1.5707629934615757</v>
      </c>
      <c r="E61" s="2">
        <v>3000000</v>
      </c>
      <c r="F61" s="3">
        <f t="shared" si="1"/>
        <v>1.5707963267948966</v>
      </c>
    </row>
    <row r="62" spans="2:6" x14ac:dyDescent="0.25">
      <c r="B62" s="2">
        <v>4000000</v>
      </c>
      <c r="C62" s="3">
        <f t="shared" si="0"/>
        <v>1.5707713267949017</v>
      </c>
      <c r="E62" s="2">
        <v>4000000</v>
      </c>
      <c r="F62" s="3">
        <f t="shared" si="1"/>
        <v>1.5707963267948966</v>
      </c>
    </row>
    <row r="63" spans="2:6" x14ac:dyDescent="0.25">
      <c r="B63" s="2">
        <v>5000000</v>
      </c>
      <c r="C63" s="3">
        <f t="shared" si="0"/>
        <v>1.5707763267948993</v>
      </c>
      <c r="E63" s="2">
        <v>5000000</v>
      </c>
      <c r="F63" s="3">
        <f t="shared" si="1"/>
        <v>1.5707963267948966</v>
      </c>
    </row>
    <row r="64" spans="2:6" x14ac:dyDescent="0.25">
      <c r="B64" s="2">
        <v>6000000</v>
      </c>
      <c r="C64" s="3">
        <f t="shared" si="0"/>
        <v>1.5707796601282316</v>
      </c>
      <c r="E64" s="2">
        <v>6000000</v>
      </c>
      <c r="F64" s="3">
        <f t="shared" si="1"/>
        <v>1.5707963267948966</v>
      </c>
    </row>
    <row r="65" spans="2:6" x14ac:dyDescent="0.25">
      <c r="B65" s="2">
        <v>7000000</v>
      </c>
      <c r="C65" s="3">
        <f t="shared" si="0"/>
        <v>1.5707820410806119</v>
      </c>
      <c r="E65" s="2">
        <v>7000000</v>
      </c>
      <c r="F65" s="3">
        <f t="shared" si="1"/>
        <v>1.5707963267948966</v>
      </c>
    </row>
    <row r="66" spans="2:6" x14ac:dyDescent="0.25">
      <c r="B66" s="2">
        <v>8000000</v>
      </c>
      <c r="C66" s="3">
        <f t="shared" si="0"/>
        <v>1.5707838267948973</v>
      </c>
      <c r="E66" s="2">
        <v>8000000</v>
      </c>
      <c r="F66" s="3">
        <f t="shared" si="1"/>
        <v>1.5707963267948966</v>
      </c>
    </row>
    <row r="67" spans="2:6" x14ac:dyDescent="0.25">
      <c r="B67" s="2">
        <v>9000000</v>
      </c>
      <c r="C67" s="3">
        <f t="shared" si="0"/>
        <v>1.570785215683786</v>
      </c>
      <c r="E67" s="2">
        <v>9000000</v>
      </c>
      <c r="F67" s="3">
        <f t="shared" si="1"/>
        <v>1.5707963267948966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48BD-CF58-4E99-9845-5E1AE962A3A1}">
  <dimension ref="C3:J69"/>
  <sheetViews>
    <sheetView zoomScaleNormal="100" workbookViewId="0">
      <selection activeCell="E13" sqref="E13"/>
    </sheetView>
  </sheetViews>
  <sheetFormatPr baseColWidth="10" defaultRowHeight="15" x14ac:dyDescent="0.25"/>
  <cols>
    <col min="6" max="6" width="12" bestFit="1" customWidth="1"/>
    <col min="7" max="7" width="14.7109375" customWidth="1"/>
    <col min="8" max="8" width="14.85546875" customWidth="1"/>
    <col min="9" max="9" width="15.140625" customWidth="1"/>
    <col min="15" max="15" width="12.28515625" customWidth="1"/>
  </cols>
  <sheetData>
    <row r="3" spans="3:10" x14ac:dyDescent="0.25">
      <c r="F3" s="6" t="s">
        <v>5</v>
      </c>
      <c r="G3" s="6" t="s">
        <v>6</v>
      </c>
      <c r="J3" s="5"/>
    </row>
    <row r="4" spans="3:10" x14ac:dyDescent="0.25">
      <c r="F4" s="2">
        <f>100</f>
        <v>100</v>
      </c>
      <c r="G4" s="2">
        <v>1000</v>
      </c>
    </row>
    <row r="6" spans="3:10" x14ac:dyDescent="0.25">
      <c r="C6" s="1" t="s">
        <v>0</v>
      </c>
      <c r="D6" s="11" t="s">
        <v>8</v>
      </c>
      <c r="E6" s="9" t="s">
        <v>9</v>
      </c>
      <c r="F6" s="10" t="s">
        <v>7</v>
      </c>
      <c r="G6" s="1" t="s">
        <v>10</v>
      </c>
      <c r="H6" s="1" t="s">
        <v>11</v>
      </c>
      <c r="I6" s="1" t="s">
        <v>12</v>
      </c>
    </row>
    <row r="7" spans="3:10" x14ac:dyDescent="0.25">
      <c r="C7" s="2">
        <v>1</v>
      </c>
      <c r="D7" s="3">
        <f>10*LOG(1+(C7/$F$4)^2)</f>
        <v>4.3427276862664858E-4</v>
      </c>
      <c r="E7" s="3">
        <f>10*LOG(1/(1+(C7/$G$4)^2))</f>
        <v>-4.3429426472960073E-6</v>
      </c>
      <c r="F7" s="8">
        <f>D7+E7</f>
        <v>4.2992982597935258E-4</v>
      </c>
      <c r="G7" s="7">
        <f>IF(C7&lt;100,0,20*LOG(C7/100))</f>
        <v>0</v>
      </c>
      <c r="H7">
        <f>IF(C7&lt;1000,0,-20*LOG(C7/1000))</f>
        <v>0</v>
      </c>
      <c r="I7">
        <f>G7+H7</f>
        <v>0</v>
      </c>
    </row>
    <row r="8" spans="3:10" x14ac:dyDescent="0.25">
      <c r="C8" s="2">
        <v>2</v>
      </c>
      <c r="D8" s="3">
        <f t="shared" ref="D8:D69" si="0">10*LOG(1+(C8/$F$4)^2)</f>
        <v>1.7368305846489969E-3</v>
      </c>
      <c r="E8" s="3">
        <f t="shared" ref="E8:E69" si="1">10*LOG(1/(1+(C8/$G$4)^2))</f>
        <v>-1.7371744532012113E-5</v>
      </c>
      <c r="F8" s="8">
        <f t="shared" ref="F8:F69" si="2">D8+E8</f>
        <v>1.7194588401169848E-3</v>
      </c>
      <c r="G8" s="7">
        <f t="shared" ref="G8:G69" si="3">IF(C8&lt;100,0,20*LOG(C8/100))</f>
        <v>0</v>
      </c>
      <c r="H8">
        <f t="shared" ref="H8:H69" si="4">IF(C8&lt;1000,0,-20*LOG(C8/1000))</f>
        <v>0</v>
      </c>
      <c r="I8">
        <f t="shared" ref="I8:I69" si="5">G8+H8</f>
        <v>0</v>
      </c>
    </row>
    <row r="9" spans="3:10" x14ac:dyDescent="0.25">
      <c r="C9" s="2">
        <v>3</v>
      </c>
      <c r="D9" s="3">
        <f t="shared" si="0"/>
        <v>3.9068924991008799E-3</v>
      </c>
      <c r="E9" s="3">
        <f t="shared" si="1"/>
        <v>-3.9086327482554615E-5</v>
      </c>
      <c r="F9" s="8">
        <f t="shared" si="2"/>
        <v>3.8678061716183251E-3</v>
      </c>
      <c r="G9" s="7">
        <f t="shared" si="3"/>
        <v>0</v>
      </c>
      <c r="H9">
        <f>IF(C9&lt;1000,0,-20*LOG(C9/1000))</f>
        <v>0</v>
      </c>
      <c r="I9">
        <f t="shared" si="5"/>
        <v>0</v>
      </c>
    </row>
    <row r="10" spans="3:10" x14ac:dyDescent="0.25">
      <c r="C10" s="2">
        <v>4</v>
      </c>
      <c r="D10" s="3">
        <f t="shared" si="0"/>
        <v>6.9431586635448073E-3</v>
      </c>
      <c r="E10" s="3">
        <f t="shared" si="1"/>
        <v>-6.9486561213638528E-5</v>
      </c>
      <c r="F10" s="8">
        <f t="shared" si="2"/>
        <v>6.8736721023311687E-3</v>
      </c>
      <c r="G10" s="7">
        <f>IF(C10&lt;100,0,20*LOG(C10/100))</f>
        <v>0</v>
      </c>
      <c r="H10">
        <f t="shared" si="4"/>
        <v>0</v>
      </c>
      <c r="I10">
        <f t="shared" si="5"/>
        <v>0</v>
      </c>
    </row>
    <row r="11" spans="3:10" x14ac:dyDescent="0.25">
      <c r="C11" s="2">
        <v>5</v>
      </c>
      <c r="D11" s="3">
        <f t="shared" si="0"/>
        <v>1.084381292219893E-2</v>
      </c>
      <c r="E11" s="3">
        <f t="shared" si="1"/>
        <v>-1.0857226332782672E-4</v>
      </c>
      <c r="F11" s="8">
        <f t="shared" si="2"/>
        <v>1.0735240658871104E-2</v>
      </c>
      <c r="G11" s="7">
        <f t="shared" si="3"/>
        <v>0</v>
      </c>
      <c r="H11">
        <f t="shared" si="4"/>
        <v>0</v>
      </c>
      <c r="I11">
        <f t="shared" si="5"/>
        <v>0</v>
      </c>
    </row>
    <row r="12" spans="3:10" x14ac:dyDescent="0.25">
      <c r="C12" s="2">
        <v>6</v>
      </c>
      <c r="D12" s="3">
        <f t="shared" si="0"/>
        <v>1.5606526425729409E-2</v>
      </c>
      <c r="E12" s="3">
        <f>10*LOG(1/(1+(C12/$G$4)^2))</f>
        <v>-1.563431993241463E-4</v>
      </c>
      <c r="F12" s="8">
        <f t="shared" si="2"/>
        <v>1.5450183226405264E-2</v>
      </c>
      <c r="G12" s="7">
        <f t="shared" si="3"/>
        <v>0</v>
      </c>
      <c r="H12">
        <f t="shared" si="4"/>
        <v>0</v>
      </c>
      <c r="I12">
        <f t="shared" si="5"/>
        <v>0</v>
      </c>
    </row>
    <row r="13" spans="3:10" x14ac:dyDescent="0.25">
      <c r="C13" s="2">
        <v>7</v>
      </c>
      <c r="D13" s="3">
        <f t="shared" si="0"/>
        <v>2.122846225161637E-2</v>
      </c>
      <c r="E13" s="3">
        <f t="shared" si="1"/>
        <v>-2.1279908259738876E-4</v>
      </c>
      <c r="F13" s="8">
        <f t="shared" si="2"/>
        <v>2.101566316901898E-2</v>
      </c>
      <c r="G13" s="7">
        <f t="shared" si="3"/>
        <v>0</v>
      </c>
      <c r="H13">
        <f t="shared" si="4"/>
        <v>0</v>
      </c>
      <c r="I13">
        <f t="shared" si="5"/>
        <v>0</v>
      </c>
    </row>
    <row r="14" spans="3:10" x14ac:dyDescent="0.25">
      <c r="C14" s="2">
        <v>8</v>
      </c>
      <c r="D14" s="3">
        <f t="shared" si="0"/>
        <v>2.7706281011936895E-2</v>
      </c>
      <c r="E14" s="3">
        <f t="shared" si="1"/>
        <v>-2.779395744468995E-4</v>
      </c>
      <c r="F14" s="8">
        <f t="shared" si="2"/>
        <v>2.7428341437489994E-2</v>
      </c>
      <c r="G14" s="7">
        <f t="shared" si="3"/>
        <v>0</v>
      </c>
      <c r="H14">
        <f t="shared" si="4"/>
        <v>0</v>
      </c>
      <c r="I14">
        <f t="shared" si="5"/>
        <v>0</v>
      </c>
    </row>
    <row r="15" spans="3:10" x14ac:dyDescent="0.25">
      <c r="C15" s="2">
        <v>9</v>
      </c>
      <c r="D15" s="3">
        <f t="shared" si="0"/>
        <v>3.503614742536533E-2</v>
      </c>
      <c r="E15" s="3">
        <f t="shared" si="1"/>
        <v>-3.517642840803915E-4</v>
      </c>
      <c r="F15" s="8">
        <f t="shared" si="2"/>
        <v>3.4684383141284941E-2</v>
      </c>
      <c r="G15" s="7">
        <f t="shared" si="3"/>
        <v>0</v>
      </c>
      <c r="H15">
        <f t="shared" si="4"/>
        <v>0</v>
      </c>
      <c r="I15">
        <f t="shared" si="5"/>
        <v>0</v>
      </c>
    </row>
    <row r="16" spans="3:10" x14ac:dyDescent="0.25">
      <c r="C16" s="2">
        <v>10</v>
      </c>
      <c r="D16" s="3">
        <f t="shared" si="0"/>
        <v>4.3213737826425784E-2</v>
      </c>
      <c r="E16" s="3">
        <f t="shared" si="1"/>
        <v>-4.3427276862676849E-4</v>
      </c>
      <c r="F16" s="8">
        <f t="shared" si="2"/>
        <v>4.2779465057799018E-2</v>
      </c>
      <c r="G16" s="7">
        <f t="shared" si="3"/>
        <v>0</v>
      </c>
      <c r="H16">
        <f>IF(C16&lt;1000,0,-20*LOG(C16/1000))</f>
        <v>0</v>
      </c>
      <c r="I16">
        <f t="shared" si="5"/>
        <v>0</v>
      </c>
    </row>
    <row r="17" spans="3:9" x14ac:dyDescent="0.25">
      <c r="C17" s="2" cm="1">
        <f t="array" ref="C17:C25">C8:C16*10</f>
        <v>20</v>
      </c>
      <c r="D17" s="3">
        <f t="shared" si="0"/>
        <v>0.1703333929878037</v>
      </c>
      <c r="E17" s="3">
        <f t="shared" si="1"/>
        <v>-1.736830584649237E-3</v>
      </c>
      <c r="F17" s="8">
        <f t="shared" si="2"/>
        <v>0.16859656240315446</v>
      </c>
      <c r="G17" s="7">
        <f t="shared" si="3"/>
        <v>0</v>
      </c>
      <c r="H17">
        <f t="shared" si="4"/>
        <v>0</v>
      </c>
      <c r="I17">
        <f t="shared" si="5"/>
        <v>0</v>
      </c>
    </row>
    <row r="18" spans="3:9" x14ac:dyDescent="0.25">
      <c r="C18" s="2">
        <v>30</v>
      </c>
      <c r="D18" s="3">
        <f t="shared" si="0"/>
        <v>0.37426497940623665</v>
      </c>
      <c r="E18" s="3">
        <f t="shared" si="1"/>
        <v>-3.906892499101069E-3</v>
      </c>
      <c r="F18" s="8">
        <f t="shared" si="2"/>
        <v>0.37035808690713556</v>
      </c>
      <c r="G18" s="7">
        <f t="shared" si="3"/>
        <v>0</v>
      </c>
      <c r="H18">
        <f t="shared" si="4"/>
        <v>0</v>
      </c>
      <c r="I18">
        <f t="shared" si="5"/>
        <v>0</v>
      </c>
    </row>
    <row r="19" spans="3:9" x14ac:dyDescent="0.25">
      <c r="C19" s="2">
        <v>40</v>
      </c>
      <c r="D19" s="3">
        <f t="shared" si="0"/>
        <v>0.64457989226918533</v>
      </c>
      <c r="E19" s="3">
        <f t="shared" si="1"/>
        <v>-6.9431586635449408E-3</v>
      </c>
      <c r="F19" s="8">
        <f t="shared" si="2"/>
        <v>0.63763673360564044</v>
      </c>
      <c r="G19" s="7">
        <f t="shared" si="3"/>
        <v>0</v>
      </c>
      <c r="H19">
        <f t="shared" si="4"/>
        <v>0</v>
      </c>
      <c r="I19">
        <f t="shared" si="5"/>
        <v>0</v>
      </c>
    </row>
    <row r="20" spans="3:9" x14ac:dyDescent="0.25">
      <c r="C20" s="2">
        <v>50</v>
      </c>
      <c r="D20" s="3">
        <f t="shared" si="0"/>
        <v>0.96910013008056417</v>
      </c>
      <c r="E20" s="3">
        <f t="shared" si="1"/>
        <v>-1.0843812922198968E-2</v>
      </c>
      <c r="F20" s="8">
        <f t="shared" si="2"/>
        <v>0.95825631715836523</v>
      </c>
      <c r="G20" s="7">
        <f t="shared" si="3"/>
        <v>0</v>
      </c>
      <c r="H20">
        <f t="shared" si="4"/>
        <v>0</v>
      </c>
      <c r="I20">
        <f t="shared" si="5"/>
        <v>0</v>
      </c>
    </row>
    <row r="21" spans="3:9" x14ac:dyDescent="0.25">
      <c r="C21" s="2">
        <v>60</v>
      </c>
      <c r="D21" s="3">
        <f t="shared" si="0"/>
        <v>1.3353890837021747</v>
      </c>
      <c r="E21" s="3">
        <f t="shared" si="1"/>
        <v>-1.5606526425729333E-2</v>
      </c>
      <c r="F21" s="8">
        <f t="shared" si="2"/>
        <v>1.3197825572764454</v>
      </c>
      <c r="G21" s="7">
        <f t="shared" si="3"/>
        <v>0</v>
      </c>
      <c r="H21">
        <f t="shared" si="4"/>
        <v>0</v>
      </c>
      <c r="I21">
        <f t="shared" si="5"/>
        <v>0</v>
      </c>
    </row>
    <row r="22" spans="3:9" x14ac:dyDescent="0.25">
      <c r="C22" s="2">
        <v>70</v>
      </c>
      <c r="D22" s="3">
        <f t="shared" si="0"/>
        <v>1.7318626841227402</v>
      </c>
      <c r="E22" s="3">
        <f t="shared" si="1"/>
        <v>-2.1228462251616505E-2</v>
      </c>
      <c r="F22" s="8">
        <f t="shared" si="2"/>
        <v>1.7106342218711237</v>
      </c>
      <c r="G22" s="7">
        <f t="shared" si="3"/>
        <v>0</v>
      </c>
      <c r="H22">
        <f t="shared" si="4"/>
        <v>0</v>
      </c>
      <c r="I22">
        <f t="shared" si="5"/>
        <v>0</v>
      </c>
    </row>
    <row r="23" spans="3:9" x14ac:dyDescent="0.25">
      <c r="C23" s="2">
        <v>80</v>
      </c>
      <c r="D23" s="3">
        <f t="shared" si="0"/>
        <v>2.1484384804769792</v>
      </c>
      <c r="E23" s="3">
        <f t="shared" si="1"/>
        <v>-2.7706281011937121E-2</v>
      </c>
      <c r="F23" s="8">
        <f t="shared" si="2"/>
        <v>2.1207321994650421</v>
      </c>
      <c r="G23" s="7">
        <f t="shared" si="3"/>
        <v>0</v>
      </c>
      <c r="H23">
        <f t="shared" si="4"/>
        <v>0</v>
      </c>
      <c r="I23">
        <f t="shared" si="5"/>
        <v>0</v>
      </c>
    </row>
    <row r="24" spans="3:9" x14ac:dyDescent="0.25">
      <c r="C24" s="2">
        <v>90</v>
      </c>
      <c r="D24" s="3">
        <f t="shared" si="0"/>
        <v>2.5767857486918451</v>
      </c>
      <c r="E24" s="3">
        <f t="shared" si="1"/>
        <v>-3.5036147425365129E-2</v>
      </c>
      <c r="F24" s="8">
        <f t="shared" si="2"/>
        <v>2.54174960126648</v>
      </c>
      <c r="G24" s="7">
        <f t="shared" si="3"/>
        <v>0</v>
      </c>
      <c r="H24">
        <f t="shared" si="4"/>
        <v>0</v>
      </c>
      <c r="I24">
        <f t="shared" si="5"/>
        <v>0</v>
      </c>
    </row>
    <row r="25" spans="3:9" x14ac:dyDescent="0.25">
      <c r="C25" s="2">
        <v>100</v>
      </c>
      <c r="D25" s="3">
        <f t="shared" si="0"/>
        <v>3.0102999566398121</v>
      </c>
      <c r="E25" s="3">
        <f t="shared" si="1"/>
        <v>-4.3213737826425784E-2</v>
      </c>
      <c r="F25" s="8">
        <f t="shared" si="2"/>
        <v>2.9670862188133862</v>
      </c>
      <c r="G25" s="7">
        <f t="shared" si="3"/>
        <v>0</v>
      </c>
      <c r="H25">
        <f t="shared" si="4"/>
        <v>0</v>
      </c>
      <c r="I25">
        <f t="shared" si="5"/>
        <v>0</v>
      </c>
    </row>
    <row r="26" spans="3:9" x14ac:dyDescent="0.25">
      <c r="C26" s="2" cm="1">
        <f t="array" ref="C26:C34">_xlfn.ANCHORARRAY(C17)*10</f>
        <v>200</v>
      </c>
      <c r="D26" s="3">
        <f t="shared" si="0"/>
        <v>6.9897000433601884</v>
      </c>
      <c r="E26" s="3">
        <f t="shared" si="1"/>
        <v>-0.17033339298780395</v>
      </c>
      <c r="F26" s="8">
        <f t="shared" si="2"/>
        <v>6.819366650372384</v>
      </c>
      <c r="G26" s="7">
        <f t="shared" si="3"/>
        <v>6.0205999132796242</v>
      </c>
      <c r="H26">
        <f t="shared" si="4"/>
        <v>0</v>
      </c>
      <c r="I26">
        <f t="shared" si="5"/>
        <v>6.0205999132796242</v>
      </c>
    </row>
    <row r="27" spans="3:9" x14ac:dyDescent="0.25">
      <c r="C27" s="2">
        <v>300</v>
      </c>
      <c r="D27" s="3">
        <f t="shared" si="0"/>
        <v>10</v>
      </c>
      <c r="E27" s="3">
        <f t="shared" si="1"/>
        <v>-0.37426497940623665</v>
      </c>
      <c r="F27" s="8">
        <f t="shared" si="2"/>
        <v>9.6257350205937637</v>
      </c>
      <c r="G27" s="7">
        <f t="shared" si="3"/>
        <v>9.5424250943932485</v>
      </c>
      <c r="H27">
        <f t="shared" si="4"/>
        <v>0</v>
      </c>
      <c r="I27">
        <f t="shared" si="5"/>
        <v>9.5424250943932485</v>
      </c>
    </row>
    <row r="28" spans="3:9" x14ac:dyDescent="0.25">
      <c r="C28" s="2">
        <v>400</v>
      </c>
      <c r="D28" s="3">
        <f t="shared" si="0"/>
        <v>12.304489213782739</v>
      </c>
      <c r="E28" s="3">
        <f t="shared" si="1"/>
        <v>-0.644579892269185</v>
      </c>
      <c r="F28" s="8">
        <f t="shared" si="2"/>
        <v>11.659909321513554</v>
      </c>
      <c r="G28" s="7">
        <f t="shared" si="3"/>
        <v>12.041199826559248</v>
      </c>
      <c r="H28">
        <f t="shared" si="4"/>
        <v>0</v>
      </c>
      <c r="I28">
        <f t="shared" si="5"/>
        <v>12.041199826559248</v>
      </c>
    </row>
    <row r="29" spans="3:9" x14ac:dyDescent="0.25">
      <c r="C29" s="2">
        <v>500</v>
      </c>
      <c r="D29" s="3">
        <f t="shared" si="0"/>
        <v>14.14973347970818</v>
      </c>
      <c r="E29" s="3">
        <f t="shared" si="1"/>
        <v>-0.96910013008056395</v>
      </c>
      <c r="F29" s="8">
        <f t="shared" si="2"/>
        <v>13.180633349627616</v>
      </c>
      <c r="G29" s="7">
        <f t="shared" si="3"/>
        <v>13.979400086720377</v>
      </c>
      <c r="H29">
        <f t="shared" si="4"/>
        <v>0</v>
      </c>
      <c r="I29">
        <f t="shared" si="5"/>
        <v>13.979400086720377</v>
      </c>
    </row>
    <row r="30" spans="3:9" x14ac:dyDescent="0.25">
      <c r="C30" s="2">
        <v>600</v>
      </c>
      <c r="D30" s="3">
        <f t="shared" si="0"/>
        <v>15.68201724066995</v>
      </c>
      <c r="E30" s="3">
        <f t="shared" si="1"/>
        <v>-1.3353890837021747</v>
      </c>
      <c r="F30" s="8">
        <f t="shared" si="2"/>
        <v>14.346628156967775</v>
      </c>
      <c r="G30" s="7">
        <f t="shared" si="3"/>
        <v>15.563025007672874</v>
      </c>
      <c r="H30">
        <f t="shared" si="4"/>
        <v>0</v>
      </c>
      <c r="I30">
        <f t="shared" si="5"/>
        <v>15.563025007672874</v>
      </c>
    </row>
    <row r="31" spans="3:9" x14ac:dyDescent="0.25">
      <c r="C31" s="2">
        <v>700</v>
      </c>
      <c r="D31" s="3">
        <f t="shared" si="0"/>
        <v>16.989700043360187</v>
      </c>
      <c r="E31" s="3">
        <f t="shared" si="1"/>
        <v>-1.7318626841227402</v>
      </c>
      <c r="F31" s="8">
        <f t="shared" si="2"/>
        <v>15.257837359237447</v>
      </c>
      <c r="G31" s="7">
        <f t="shared" si="3"/>
        <v>16.901960800285135</v>
      </c>
      <c r="H31">
        <f t="shared" si="4"/>
        <v>0</v>
      </c>
      <c r="I31">
        <f t="shared" si="5"/>
        <v>16.901960800285135</v>
      </c>
    </row>
    <row r="32" spans="3:9" x14ac:dyDescent="0.25">
      <c r="C32" s="2">
        <v>800</v>
      </c>
      <c r="D32" s="3">
        <f t="shared" si="0"/>
        <v>18.129133566428553</v>
      </c>
      <c r="E32" s="3">
        <f t="shared" si="1"/>
        <v>-2.1484384804769792</v>
      </c>
      <c r="F32" s="8">
        <f t="shared" si="2"/>
        <v>15.980695085951574</v>
      </c>
      <c r="G32" s="7">
        <f t="shared" si="3"/>
        <v>18.061799739838872</v>
      </c>
      <c r="H32">
        <f t="shared" si="4"/>
        <v>0</v>
      </c>
      <c r="I32">
        <f t="shared" si="5"/>
        <v>18.061799739838872</v>
      </c>
    </row>
    <row r="33" spans="3:9" x14ac:dyDescent="0.25">
      <c r="C33" s="2">
        <v>900</v>
      </c>
      <c r="D33" s="3">
        <f t="shared" si="0"/>
        <v>19.138138523837167</v>
      </c>
      <c r="E33" s="3">
        <f t="shared" si="1"/>
        <v>-2.5767857486918451</v>
      </c>
      <c r="F33" s="8">
        <f t="shared" si="2"/>
        <v>16.561352775145323</v>
      </c>
      <c r="G33" s="7">
        <f t="shared" si="3"/>
        <v>19.084850188786497</v>
      </c>
      <c r="H33">
        <f t="shared" si="4"/>
        <v>0</v>
      </c>
      <c r="I33">
        <f t="shared" si="5"/>
        <v>19.084850188786497</v>
      </c>
    </row>
    <row r="34" spans="3:9" x14ac:dyDescent="0.25">
      <c r="C34" s="2">
        <v>1000</v>
      </c>
      <c r="D34" s="3">
        <f t="shared" si="0"/>
        <v>20.043213737826427</v>
      </c>
      <c r="E34" s="3">
        <f t="shared" si="1"/>
        <v>-3.0102999566398121</v>
      </c>
      <c r="F34" s="8">
        <f t="shared" si="2"/>
        <v>17.032913781186615</v>
      </c>
      <c r="G34" s="7">
        <f t="shared" si="3"/>
        <v>20</v>
      </c>
      <c r="H34">
        <f t="shared" si="4"/>
        <v>0</v>
      </c>
      <c r="I34">
        <f t="shared" si="5"/>
        <v>20</v>
      </c>
    </row>
    <row r="35" spans="3:9" x14ac:dyDescent="0.25">
      <c r="C35" s="2" cm="1">
        <f t="array" ref="C35:C43">_xlfn.ANCHORARRAY(C26)*10</f>
        <v>2000</v>
      </c>
      <c r="D35" s="3">
        <f t="shared" si="0"/>
        <v>26.031443726201822</v>
      </c>
      <c r="E35" s="3">
        <f t="shared" si="1"/>
        <v>-6.9897000433601875</v>
      </c>
      <c r="F35" s="8">
        <f t="shared" si="2"/>
        <v>19.041743682841634</v>
      </c>
      <c r="G35" s="7">
        <f t="shared" si="3"/>
        <v>26.020599913279625</v>
      </c>
      <c r="H35">
        <f t="shared" si="4"/>
        <v>-6.0205999132796242</v>
      </c>
      <c r="I35">
        <f t="shared" si="5"/>
        <v>20</v>
      </c>
    </row>
    <row r="36" spans="3:9" x14ac:dyDescent="0.25">
      <c r="C36" s="2">
        <v>3000</v>
      </c>
      <c r="D36" s="3">
        <f t="shared" si="0"/>
        <v>29.547247909790627</v>
      </c>
      <c r="E36" s="3">
        <f t="shared" si="1"/>
        <v>-10</v>
      </c>
      <c r="F36" s="8">
        <f t="shared" si="2"/>
        <v>19.547247909790627</v>
      </c>
      <c r="G36" s="7">
        <f t="shared" si="3"/>
        <v>29.542425094393248</v>
      </c>
      <c r="H36">
        <f t="shared" si="4"/>
        <v>-9.5424250943932485</v>
      </c>
      <c r="I36">
        <f t="shared" si="5"/>
        <v>20</v>
      </c>
    </row>
    <row r="37" spans="3:9" x14ac:dyDescent="0.25">
      <c r="C37" s="2">
        <v>4000</v>
      </c>
      <c r="D37" s="3">
        <f t="shared" si="0"/>
        <v>32.043913319192995</v>
      </c>
      <c r="E37" s="3">
        <f t="shared" si="1"/>
        <v>-12.304489213782739</v>
      </c>
      <c r="F37" s="8">
        <f t="shared" si="2"/>
        <v>19.739424105410258</v>
      </c>
      <c r="G37" s="7">
        <f t="shared" si="3"/>
        <v>32.041199826559243</v>
      </c>
      <c r="H37">
        <f t="shared" si="4"/>
        <v>-12.041199826559248</v>
      </c>
      <c r="I37">
        <f t="shared" si="5"/>
        <v>19.999999999999993</v>
      </c>
    </row>
    <row r="38" spans="3:9" x14ac:dyDescent="0.25">
      <c r="C38" s="2">
        <v>5000</v>
      </c>
      <c r="D38" s="3">
        <f t="shared" si="0"/>
        <v>33.981136917305022</v>
      </c>
      <c r="E38" s="3">
        <f t="shared" si="1"/>
        <v>-14.14973347970818</v>
      </c>
      <c r="F38" s="8">
        <f t="shared" si="2"/>
        <v>19.83140343759684</v>
      </c>
      <c r="G38" s="7">
        <f t="shared" si="3"/>
        <v>33.979400086720375</v>
      </c>
      <c r="H38">
        <f t="shared" si="4"/>
        <v>-13.979400086720377</v>
      </c>
      <c r="I38">
        <f t="shared" si="5"/>
        <v>20</v>
      </c>
    </row>
    <row r="39" spans="3:9" x14ac:dyDescent="0.25">
      <c r="C39" s="2">
        <v>6000</v>
      </c>
      <c r="D39" s="3">
        <f t="shared" si="0"/>
        <v>35.564231213712851</v>
      </c>
      <c r="E39" s="3">
        <f t="shared" si="1"/>
        <v>-15.68201724066995</v>
      </c>
      <c r="F39" s="8">
        <f t="shared" si="2"/>
        <v>19.882213973042902</v>
      </c>
      <c r="G39" s="7">
        <f t="shared" si="3"/>
        <v>35.56302500767287</v>
      </c>
      <c r="H39">
        <f t="shared" si="4"/>
        <v>-15.563025007672874</v>
      </c>
      <c r="I39">
        <f t="shared" si="5"/>
        <v>19.999999999999996</v>
      </c>
    </row>
    <row r="40" spans="3:9" x14ac:dyDescent="0.25">
      <c r="C40" s="2">
        <v>7000</v>
      </c>
      <c r="D40" s="3">
        <f t="shared" si="0"/>
        <v>36.902847025126292</v>
      </c>
      <c r="E40" s="3">
        <f t="shared" si="1"/>
        <v>-16.989700043360187</v>
      </c>
      <c r="F40" s="8">
        <f t="shared" si="2"/>
        <v>19.913146981766104</v>
      </c>
      <c r="G40" s="7">
        <f t="shared" si="3"/>
        <v>36.901960800285138</v>
      </c>
      <c r="H40">
        <f t="shared" si="4"/>
        <v>-16.901960800285135</v>
      </c>
      <c r="I40">
        <f t="shared" si="5"/>
        <v>20.000000000000004</v>
      </c>
    </row>
    <row r="41" spans="3:9" x14ac:dyDescent="0.25">
      <c r="C41" s="2">
        <v>8000</v>
      </c>
      <c r="D41" s="3">
        <f t="shared" si="0"/>
        <v>38.062478271957907</v>
      </c>
      <c r="E41" s="3">
        <f t="shared" si="1"/>
        <v>-18.129133566428553</v>
      </c>
      <c r="F41" s="8">
        <f t="shared" si="2"/>
        <v>19.933344705529354</v>
      </c>
      <c r="G41" s="7">
        <f t="shared" si="3"/>
        <v>38.061799739838868</v>
      </c>
      <c r="H41">
        <f t="shared" si="4"/>
        <v>-18.061799739838872</v>
      </c>
      <c r="I41">
        <f t="shared" si="5"/>
        <v>19.999999999999996</v>
      </c>
    </row>
    <row r="42" spans="3:9" x14ac:dyDescent="0.25">
      <c r="C42" s="2">
        <v>9000</v>
      </c>
      <c r="D42" s="3">
        <f t="shared" si="0"/>
        <v>39.085386321719596</v>
      </c>
      <c r="E42" s="3">
        <f t="shared" si="1"/>
        <v>-19.138138523837167</v>
      </c>
      <c r="F42" s="8">
        <f t="shared" si="2"/>
        <v>19.947247797882429</v>
      </c>
      <c r="G42" s="7">
        <f t="shared" si="3"/>
        <v>39.084850188786497</v>
      </c>
      <c r="H42">
        <f t="shared" si="4"/>
        <v>-19.084850188786497</v>
      </c>
      <c r="I42">
        <f t="shared" si="5"/>
        <v>20</v>
      </c>
    </row>
    <row r="43" spans="3:9" x14ac:dyDescent="0.25">
      <c r="C43" s="2">
        <v>10000</v>
      </c>
      <c r="D43" s="3">
        <f t="shared" si="0"/>
        <v>40.000434272768629</v>
      </c>
      <c r="E43" s="3">
        <f t="shared" si="1"/>
        <v>-20.043213737826427</v>
      </c>
      <c r="F43" s="8">
        <f t="shared" si="2"/>
        <v>19.957220534942202</v>
      </c>
      <c r="G43" s="7">
        <f t="shared" si="3"/>
        <v>40</v>
      </c>
      <c r="H43">
        <f t="shared" si="4"/>
        <v>-20</v>
      </c>
      <c r="I43">
        <f t="shared" si="5"/>
        <v>20</v>
      </c>
    </row>
    <row r="44" spans="3:9" x14ac:dyDescent="0.25">
      <c r="C44" s="2" cm="1">
        <f t="array" ref="C44:C52">_xlfn.ANCHORARRAY(C35)*10</f>
        <v>20000</v>
      </c>
      <c r="D44" s="3">
        <f t="shared" si="0"/>
        <v>46.020708485542954</v>
      </c>
      <c r="E44" s="3">
        <f t="shared" si="1"/>
        <v>-26.031443726201822</v>
      </c>
      <c r="F44" s="8">
        <f t="shared" si="2"/>
        <v>19.989264759341133</v>
      </c>
      <c r="G44" s="7">
        <f t="shared" si="3"/>
        <v>46.020599913279625</v>
      </c>
      <c r="H44">
        <f t="shared" si="4"/>
        <v>-26.020599913279625</v>
      </c>
      <c r="I44">
        <f t="shared" si="5"/>
        <v>20</v>
      </c>
    </row>
    <row r="45" spans="3:9" x14ac:dyDescent="0.25">
      <c r="C45" s="2">
        <v>30000</v>
      </c>
      <c r="D45" s="3">
        <f t="shared" si="0"/>
        <v>49.542473349067599</v>
      </c>
      <c r="E45" s="3">
        <f t="shared" si="1"/>
        <v>-29.547247909790627</v>
      </c>
      <c r="F45" s="8">
        <f t="shared" si="2"/>
        <v>19.995225439276972</v>
      </c>
      <c r="G45" s="7">
        <f t="shared" si="3"/>
        <v>49.542425094393252</v>
      </c>
      <c r="H45">
        <f t="shared" si="4"/>
        <v>-29.542425094393248</v>
      </c>
      <c r="I45">
        <f t="shared" si="5"/>
        <v>20.000000000000004</v>
      </c>
    </row>
    <row r="46" spans="3:9" x14ac:dyDescent="0.25">
      <c r="C46" s="2">
        <v>40000</v>
      </c>
      <c r="D46" s="3">
        <f t="shared" si="0"/>
        <v>52.041226969879546</v>
      </c>
      <c r="E46" s="3">
        <f t="shared" si="1"/>
        <v>-32.043913319192995</v>
      </c>
      <c r="F46" s="8">
        <f t="shared" si="2"/>
        <v>19.99731365068655</v>
      </c>
      <c r="G46" s="7">
        <f t="shared" si="3"/>
        <v>52.04119982655925</v>
      </c>
      <c r="H46">
        <f t="shared" si="4"/>
        <v>-32.041199826559243</v>
      </c>
      <c r="I46">
        <f t="shared" si="5"/>
        <v>20.000000000000007</v>
      </c>
    </row>
    <row r="47" spans="3:9" x14ac:dyDescent="0.25">
      <c r="C47" s="2">
        <v>50000</v>
      </c>
      <c r="D47" s="3">
        <f t="shared" si="0"/>
        <v>53.979417458464908</v>
      </c>
      <c r="E47" s="3">
        <f t="shared" si="1"/>
        <v>-33.981136917305022</v>
      </c>
      <c r="F47" s="8">
        <f t="shared" si="2"/>
        <v>19.998280541159886</v>
      </c>
      <c r="G47" s="7">
        <f t="shared" si="3"/>
        <v>53.979400086720375</v>
      </c>
      <c r="H47">
        <f t="shared" si="4"/>
        <v>-33.979400086720375</v>
      </c>
      <c r="I47">
        <f t="shared" si="5"/>
        <v>20</v>
      </c>
    </row>
    <row r="48" spans="3:9" x14ac:dyDescent="0.25">
      <c r="C48" s="2">
        <v>60000</v>
      </c>
      <c r="D48" s="3">
        <f t="shared" si="0"/>
        <v>55.563037071391726</v>
      </c>
      <c r="E48" s="3">
        <f t="shared" si="1"/>
        <v>-35.564231213712851</v>
      </c>
      <c r="F48" s="8">
        <f t="shared" si="2"/>
        <v>19.998805857678875</v>
      </c>
      <c r="G48" s="7">
        <f t="shared" si="3"/>
        <v>55.56302500767287</v>
      </c>
      <c r="H48">
        <f t="shared" si="4"/>
        <v>-35.56302500767287</v>
      </c>
      <c r="I48">
        <f t="shared" si="5"/>
        <v>20</v>
      </c>
    </row>
    <row r="49" spans="3:9" x14ac:dyDescent="0.25">
      <c r="C49" s="2">
        <v>70000</v>
      </c>
      <c r="D49" s="3">
        <f t="shared" si="0"/>
        <v>56.901969663428787</v>
      </c>
      <c r="E49" s="3">
        <f t="shared" si="1"/>
        <v>-36.902847025126292</v>
      </c>
      <c r="F49" s="8">
        <f t="shared" si="2"/>
        <v>19.999122638302495</v>
      </c>
      <c r="G49" s="7">
        <f t="shared" si="3"/>
        <v>56.901960800285138</v>
      </c>
      <c r="H49">
        <f t="shared" si="4"/>
        <v>-36.901960800285138</v>
      </c>
      <c r="I49">
        <f t="shared" si="5"/>
        <v>20</v>
      </c>
    </row>
    <row r="50" spans="3:9" x14ac:dyDescent="0.25">
      <c r="C50" s="2">
        <v>80000</v>
      </c>
      <c r="D50" s="3">
        <f t="shared" si="0"/>
        <v>58.061806525684851</v>
      </c>
      <c r="E50" s="3">
        <f t="shared" si="1"/>
        <v>-38.062478271957907</v>
      </c>
      <c r="F50" s="8">
        <f t="shared" si="2"/>
        <v>19.999328253726944</v>
      </c>
      <c r="G50" s="7">
        <f t="shared" si="3"/>
        <v>58.061799739838875</v>
      </c>
      <c r="H50">
        <f t="shared" si="4"/>
        <v>-38.061799739838868</v>
      </c>
      <c r="I50">
        <f t="shared" si="5"/>
        <v>20.000000000000007</v>
      </c>
    </row>
    <row r="51" spans="3:9" x14ac:dyDescent="0.25">
      <c r="C51" s="2">
        <v>90000</v>
      </c>
      <c r="D51" s="3">
        <f t="shared" si="0"/>
        <v>59.084855550443464</v>
      </c>
      <c r="E51" s="3">
        <f t="shared" si="1"/>
        <v>-39.085386321719596</v>
      </c>
      <c r="F51" s="8">
        <f t="shared" si="2"/>
        <v>19.999469228723868</v>
      </c>
      <c r="G51" s="7">
        <f t="shared" si="3"/>
        <v>59.084850188786497</v>
      </c>
      <c r="H51">
        <f t="shared" si="4"/>
        <v>-39.084850188786497</v>
      </c>
      <c r="I51">
        <f t="shared" si="5"/>
        <v>20</v>
      </c>
    </row>
    <row r="52" spans="3:9" x14ac:dyDescent="0.25">
      <c r="C52" s="2">
        <v>100000</v>
      </c>
      <c r="D52" s="3">
        <f t="shared" si="0"/>
        <v>60.000004342942646</v>
      </c>
      <c r="E52" s="3">
        <f t="shared" si="1"/>
        <v>-40.000434272768629</v>
      </c>
      <c r="F52" s="8">
        <f t="shared" si="2"/>
        <v>19.999570070174016</v>
      </c>
      <c r="G52" s="7">
        <f t="shared" si="3"/>
        <v>60</v>
      </c>
      <c r="H52">
        <f t="shared" si="4"/>
        <v>-40</v>
      </c>
      <c r="I52">
        <f t="shared" si="5"/>
        <v>20</v>
      </c>
    </row>
    <row r="53" spans="3:9" x14ac:dyDescent="0.25">
      <c r="C53" s="2" cm="1">
        <f t="array" ref="C53:C61">_xlfn.ANCHORARRAY(C44)*10</f>
        <v>200000</v>
      </c>
      <c r="D53" s="3">
        <f t="shared" si="0"/>
        <v>66.020600999015699</v>
      </c>
      <c r="E53" s="3">
        <f t="shared" si="1"/>
        <v>-46.020708485542954</v>
      </c>
      <c r="F53" s="8">
        <f t="shared" si="2"/>
        <v>19.999892513472744</v>
      </c>
      <c r="G53" s="7">
        <f t="shared" si="3"/>
        <v>66.020599913279625</v>
      </c>
      <c r="H53">
        <f t="shared" si="4"/>
        <v>-46.020599913279625</v>
      </c>
      <c r="I53">
        <f t="shared" si="5"/>
        <v>20</v>
      </c>
    </row>
    <row r="54" spans="3:9" x14ac:dyDescent="0.25">
      <c r="C54" s="2">
        <v>300000</v>
      </c>
      <c r="D54" s="3">
        <f t="shared" si="0"/>
        <v>69.542425576942648</v>
      </c>
      <c r="E54" s="3">
        <f t="shared" si="1"/>
        <v>-49.542473349067599</v>
      </c>
      <c r="F54" s="8">
        <f t="shared" si="2"/>
        <v>19.999952227875049</v>
      </c>
      <c r="G54" s="7">
        <f t="shared" si="3"/>
        <v>69.542425094393252</v>
      </c>
      <c r="H54">
        <f t="shared" si="4"/>
        <v>-49.542425094393252</v>
      </c>
      <c r="I54">
        <f t="shared" si="5"/>
        <v>20</v>
      </c>
    </row>
    <row r="55" spans="3:9" x14ac:dyDescent="0.25">
      <c r="C55" s="2">
        <v>400000</v>
      </c>
      <c r="D55" s="3">
        <f t="shared" si="0"/>
        <v>72.041200097993283</v>
      </c>
      <c r="E55" s="3">
        <f t="shared" si="1"/>
        <v>-52.041226969879546</v>
      </c>
      <c r="F55" s="8">
        <f t="shared" si="2"/>
        <v>19.999973128113737</v>
      </c>
      <c r="G55" s="7">
        <f t="shared" si="3"/>
        <v>72.04119982655925</v>
      </c>
      <c r="H55">
        <f t="shared" si="4"/>
        <v>-52.04119982655925</v>
      </c>
      <c r="I55">
        <f t="shared" si="5"/>
        <v>20</v>
      </c>
    </row>
    <row r="56" spans="3:9" x14ac:dyDescent="0.25">
      <c r="C56" s="2">
        <v>500000</v>
      </c>
      <c r="D56" s="3">
        <f t="shared" si="0"/>
        <v>73.979400260438155</v>
      </c>
      <c r="E56" s="3">
        <f t="shared" si="1"/>
        <v>-53.979417458464908</v>
      </c>
      <c r="F56" s="8">
        <f t="shared" si="2"/>
        <v>19.999982801973246</v>
      </c>
      <c r="G56" s="7">
        <f t="shared" si="3"/>
        <v>73.979400086720375</v>
      </c>
      <c r="H56">
        <f t="shared" si="4"/>
        <v>-53.979400086720375</v>
      </c>
      <c r="I56">
        <f t="shared" si="5"/>
        <v>20</v>
      </c>
    </row>
    <row r="57" spans="3:9" x14ac:dyDescent="0.25">
      <c r="C57" s="2">
        <v>600000</v>
      </c>
      <c r="D57" s="3">
        <f t="shared" si="0"/>
        <v>75.56302512831023</v>
      </c>
      <c r="E57" s="3">
        <f t="shared" si="1"/>
        <v>-55.563037071391726</v>
      </c>
      <c r="F57" s="8">
        <f t="shared" si="2"/>
        <v>19.999988056918504</v>
      </c>
      <c r="G57" s="7">
        <f t="shared" si="3"/>
        <v>75.563025007672863</v>
      </c>
      <c r="H57">
        <f t="shared" si="4"/>
        <v>-55.56302500767287</v>
      </c>
      <c r="I57">
        <f t="shared" si="5"/>
        <v>19.999999999999993</v>
      </c>
    </row>
    <row r="58" spans="3:9" x14ac:dyDescent="0.25">
      <c r="C58" s="2">
        <v>700000</v>
      </c>
      <c r="D58" s="3">
        <f t="shared" si="0"/>
        <v>76.901960888916662</v>
      </c>
      <c r="E58" s="3">
        <f t="shared" si="1"/>
        <v>-56.901969663428787</v>
      </c>
      <c r="F58" s="8">
        <f t="shared" si="2"/>
        <v>19.999991225487875</v>
      </c>
      <c r="G58" s="7">
        <f t="shared" si="3"/>
        <v>76.901960800285138</v>
      </c>
      <c r="H58">
        <f t="shared" si="4"/>
        <v>-56.901960800285138</v>
      </c>
      <c r="I58">
        <f t="shared" si="5"/>
        <v>20</v>
      </c>
    </row>
    <row r="59" spans="3:9" x14ac:dyDescent="0.25">
      <c r="C59" s="2">
        <v>800000</v>
      </c>
      <c r="D59" s="3">
        <f t="shared" si="0"/>
        <v>78.061799807697383</v>
      </c>
      <c r="E59" s="3">
        <f t="shared" si="1"/>
        <v>-58.061806525684851</v>
      </c>
      <c r="F59" s="8">
        <f t="shared" si="2"/>
        <v>19.999993282012532</v>
      </c>
      <c r="G59" s="7">
        <f t="shared" si="3"/>
        <v>78.061799739838875</v>
      </c>
      <c r="H59">
        <f t="shared" si="4"/>
        <v>-58.061799739838875</v>
      </c>
      <c r="I59">
        <f t="shared" si="5"/>
        <v>20</v>
      </c>
    </row>
    <row r="60" spans="3:9" x14ac:dyDescent="0.25">
      <c r="C60" s="2">
        <v>900000</v>
      </c>
      <c r="D60" s="3">
        <f t="shared" si="0"/>
        <v>79.084850242403093</v>
      </c>
      <c r="E60" s="3">
        <f t="shared" si="1"/>
        <v>-59.084855550443464</v>
      </c>
      <c r="F60" s="8">
        <f t="shared" si="2"/>
        <v>19.999994691959628</v>
      </c>
      <c r="G60" s="7">
        <f t="shared" si="3"/>
        <v>79.08485018878649</v>
      </c>
      <c r="H60">
        <f t="shared" si="4"/>
        <v>-59.084850188786497</v>
      </c>
      <c r="I60">
        <f t="shared" si="5"/>
        <v>19.999999999999993</v>
      </c>
    </row>
    <row r="61" spans="3:9" x14ac:dyDescent="0.25">
      <c r="C61" s="2">
        <v>1000000</v>
      </c>
      <c r="D61" s="3">
        <f t="shared" si="0"/>
        <v>80.000000043429452</v>
      </c>
      <c r="E61" s="3">
        <f t="shared" si="1"/>
        <v>-60.000004342942646</v>
      </c>
      <c r="F61" s="8">
        <f t="shared" si="2"/>
        <v>19.999995700486807</v>
      </c>
      <c r="G61" s="7">
        <f t="shared" si="3"/>
        <v>80</v>
      </c>
      <c r="H61">
        <f t="shared" si="4"/>
        <v>-60</v>
      </c>
      <c r="I61">
        <f t="shared" si="5"/>
        <v>20</v>
      </c>
    </row>
    <row r="62" spans="3:9" x14ac:dyDescent="0.25">
      <c r="C62" s="2" cm="1">
        <f t="array" ref="C62:C69">C53:C60*10</f>
        <v>2000000</v>
      </c>
      <c r="D62" s="3">
        <f t="shared" si="0"/>
        <v>86.020599924136988</v>
      </c>
      <c r="E62" s="3">
        <f t="shared" si="1"/>
        <v>-66.020600999015699</v>
      </c>
      <c r="F62" s="8">
        <f t="shared" si="2"/>
        <v>19.99999892512129</v>
      </c>
      <c r="G62" s="7">
        <f t="shared" si="3"/>
        <v>86.020599913279625</v>
      </c>
      <c r="H62">
        <f t="shared" si="4"/>
        <v>-66.020599913279625</v>
      </c>
      <c r="I62">
        <f t="shared" si="5"/>
        <v>20</v>
      </c>
    </row>
    <row r="63" spans="3:9" x14ac:dyDescent="0.25">
      <c r="C63" s="2">
        <v>3000000</v>
      </c>
      <c r="D63" s="3">
        <f t="shared" si="0"/>
        <v>89.542425099218747</v>
      </c>
      <c r="E63" s="3">
        <f t="shared" si="1"/>
        <v>-69.542425576942648</v>
      </c>
      <c r="F63" s="8">
        <f t="shared" si="2"/>
        <v>19.999999522276099</v>
      </c>
      <c r="G63" s="7">
        <f t="shared" si="3"/>
        <v>89.542425094393252</v>
      </c>
      <c r="H63">
        <f t="shared" si="4"/>
        <v>-69.542425094393252</v>
      </c>
      <c r="I63">
        <f t="shared" si="5"/>
        <v>20</v>
      </c>
    </row>
    <row r="64" spans="3:9" x14ac:dyDescent="0.25">
      <c r="C64" s="2">
        <v>4000000</v>
      </c>
      <c r="D64" s="3">
        <f t="shared" si="0"/>
        <v>92.041199829273594</v>
      </c>
      <c r="E64" s="3">
        <f t="shared" si="1"/>
        <v>-72.041200097993283</v>
      </c>
      <c r="F64" s="8">
        <f t="shared" si="2"/>
        <v>19.999999731280312</v>
      </c>
      <c r="G64" s="7">
        <f t="shared" si="3"/>
        <v>92.04119982655925</v>
      </c>
      <c r="H64">
        <f t="shared" si="4"/>
        <v>-72.04119982655925</v>
      </c>
      <c r="I64">
        <f t="shared" si="5"/>
        <v>20</v>
      </c>
    </row>
    <row r="65" spans="3:9" x14ac:dyDescent="0.25">
      <c r="C65" s="2">
        <v>5000000</v>
      </c>
      <c r="D65" s="3">
        <f t="shared" si="0"/>
        <v>93.979400088457538</v>
      </c>
      <c r="E65" s="3">
        <f t="shared" si="1"/>
        <v>-73.979400260438155</v>
      </c>
      <c r="F65" s="8">
        <f t="shared" si="2"/>
        <v>19.999999828019384</v>
      </c>
      <c r="G65" s="7">
        <f t="shared" si="3"/>
        <v>93.979400086720375</v>
      </c>
      <c r="H65">
        <f t="shared" si="4"/>
        <v>-73.979400086720375</v>
      </c>
      <c r="I65">
        <f t="shared" si="5"/>
        <v>20</v>
      </c>
    </row>
    <row r="66" spans="3:9" x14ac:dyDescent="0.25">
      <c r="C66" s="2">
        <v>6000000</v>
      </c>
      <c r="D66" s="3">
        <f t="shared" si="0"/>
        <v>95.563025008879251</v>
      </c>
      <c r="E66" s="3">
        <f t="shared" si="1"/>
        <v>-75.56302512831023</v>
      </c>
      <c r="F66" s="8">
        <f t="shared" si="2"/>
        <v>19.999999880569021</v>
      </c>
      <c r="G66" s="7">
        <f t="shared" si="3"/>
        <v>95.563025007672877</v>
      </c>
      <c r="H66">
        <f t="shared" si="4"/>
        <v>-75.563025007672863</v>
      </c>
      <c r="I66">
        <f t="shared" si="5"/>
        <v>20.000000000000014</v>
      </c>
    </row>
    <row r="67" spans="3:9" x14ac:dyDescent="0.25">
      <c r="C67" s="2">
        <v>7000000</v>
      </c>
      <c r="D67" s="3">
        <f t="shared" si="0"/>
        <v>96.901960801171455</v>
      </c>
      <c r="E67" s="3">
        <f t="shared" si="1"/>
        <v>-76.901960888916662</v>
      </c>
      <c r="F67" s="8">
        <f t="shared" si="2"/>
        <v>19.999999912254793</v>
      </c>
      <c r="G67" s="7">
        <f t="shared" si="3"/>
        <v>96.901960800285138</v>
      </c>
      <c r="H67">
        <f t="shared" si="4"/>
        <v>-76.901960800285138</v>
      </c>
      <c r="I67">
        <f t="shared" si="5"/>
        <v>20</v>
      </c>
    </row>
    <row r="68" spans="3:9" x14ac:dyDescent="0.25">
      <c r="C68" s="2">
        <v>8000000</v>
      </c>
      <c r="D68" s="3">
        <f t="shared" si="0"/>
        <v>98.061799740517458</v>
      </c>
      <c r="E68" s="3">
        <f t="shared" si="1"/>
        <v>-78.061799807697383</v>
      </c>
      <c r="F68" s="8">
        <f t="shared" si="2"/>
        <v>19.999999932820074</v>
      </c>
      <c r="G68" s="7">
        <f t="shared" si="3"/>
        <v>98.061799739838875</v>
      </c>
      <c r="H68">
        <f t="shared" si="4"/>
        <v>-78.061799739838875</v>
      </c>
      <c r="I68">
        <f t="shared" si="5"/>
        <v>20</v>
      </c>
    </row>
    <row r="69" spans="3:9" x14ac:dyDescent="0.25">
      <c r="C69" s="2">
        <v>9000000</v>
      </c>
      <c r="D69" s="3">
        <f t="shared" si="0"/>
        <v>99.084850189322665</v>
      </c>
      <c r="E69" s="3">
        <f t="shared" si="1"/>
        <v>-79.084850242403093</v>
      </c>
      <c r="F69" s="8">
        <f t="shared" si="2"/>
        <v>19.999999946919573</v>
      </c>
      <c r="G69" s="7">
        <f t="shared" si="3"/>
        <v>99.084850188786504</v>
      </c>
      <c r="H69">
        <f t="shared" si="4"/>
        <v>-79.08485018878649</v>
      </c>
      <c r="I69">
        <f t="shared" si="5"/>
        <v>20.000000000000014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B8D6-A4E1-443C-AC39-4F1EE1FAF208}">
  <dimension ref="C4:I67"/>
  <sheetViews>
    <sheetView zoomScale="70" zoomScaleNormal="70" workbookViewId="0">
      <selection activeCell="D16" sqref="D16"/>
    </sheetView>
  </sheetViews>
  <sheetFormatPr baseColWidth="10" defaultRowHeight="15" x14ac:dyDescent="0.25"/>
  <cols>
    <col min="7" max="7" width="15" customWidth="1"/>
    <col min="8" max="8" width="16.85546875" customWidth="1"/>
    <col min="9" max="9" width="18" customWidth="1"/>
  </cols>
  <sheetData>
    <row r="4" spans="3:9" x14ac:dyDescent="0.25">
      <c r="C4" s="1" t="s">
        <v>0</v>
      </c>
      <c r="D4" s="1" t="s">
        <v>14</v>
      </c>
      <c r="E4" s="1" t="s">
        <v>13</v>
      </c>
      <c r="F4" s="1" t="s">
        <v>15</v>
      </c>
      <c r="G4" s="1" t="s">
        <v>10</v>
      </c>
      <c r="H4" s="1" t="s">
        <v>11</v>
      </c>
      <c r="I4" s="1" t="s">
        <v>12</v>
      </c>
    </row>
    <row r="5" spans="3:9" x14ac:dyDescent="0.25">
      <c r="C5" s="2">
        <v>1</v>
      </c>
      <c r="D5" s="3">
        <f>ATAN(C5/100)</f>
        <v>9.9996666866652376E-3</v>
      </c>
      <c r="E5" s="3">
        <f>-ATAN(C5/1000)</f>
        <v>-9.9999966666686679E-4</v>
      </c>
      <c r="F5" s="3">
        <f>D5+E5</f>
        <v>8.9996670199983704E-3</v>
      </c>
      <c r="G5" s="7">
        <f>IF(C5&lt;10,0,PI()/2)</f>
        <v>0</v>
      </c>
      <c r="H5" s="7">
        <f>IF(C5&lt;1000,0,-PI()/2)</f>
        <v>0</v>
      </c>
      <c r="I5" s="7">
        <f>G5+H5</f>
        <v>0</v>
      </c>
    </row>
    <row r="6" spans="3:9" x14ac:dyDescent="0.25">
      <c r="C6" s="2">
        <v>2</v>
      </c>
      <c r="D6" s="3">
        <f t="shared" ref="D6:D67" si="0">ATAN(C6/100)</f>
        <v>1.9997333973150535E-2</v>
      </c>
      <c r="E6" s="3">
        <f t="shared" ref="E6:E67" si="1">-ATAN(C6/1000)</f>
        <v>-1.9999973333397333E-3</v>
      </c>
      <c r="F6" s="3">
        <f t="shared" ref="F6:F67" si="2">D6+E6</f>
        <v>1.7997336639810801E-2</v>
      </c>
      <c r="G6" s="7">
        <f t="shared" ref="G6:G67" si="3">IF(C6&lt;100,0,PI()/2)</f>
        <v>0</v>
      </c>
      <c r="H6" s="7">
        <f t="shared" ref="H6:H66" si="4">IF(C6&lt;1000,0,-PI()/2)</f>
        <v>0</v>
      </c>
      <c r="I6" s="7">
        <f t="shared" ref="I6:I67" si="5">G6+H6</f>
        <v>0</v>
      </c>
    </row>
    <row r="7" spans="3:9" x14ac:dyDescent="0.25">
      <c r="C7" s="2">
        <v>3</v>
      </c>
      <c r="D7" s="3">
        <f t="shared" si="0"/>
        <v>2.99910048568779E-2</v>
      </c>
      <c r="E7" s="3">
        <f t="shared" si="1"/>
        <v>-2.9999910000485996E-3</v>
      </c>
      <c r="F7" s="3">
        <f t="shared" si="2"/>
        <v>2.69910138568293E-2</v>
      </c>
      <c r="G7" s="7">
        <f t="shared" si="3"/>
        <v>0</v>
      </c>
      <c r="H7" s="7">
        <f t="shared" si="4"/>
        <v>0</v>
      </c>
      <c r="I7" s="7">
        <f t="shared" si="5"/>
        <v>0</v>
      </c>
    </row>
    <row r="8" spans="3:9" x14ac:dyDescent="0.25">
      <c r="C8" s="2">
        <v>4</v>
      </c>
      <c r="D8" s="3">
        <f t="shared" si="0"/>
        <v>3.9978687123290044E-2</v>
      </c>
      <c r="E8" s="3">
        <f t="shared" si="1"/>
        <v>-3.9999786668714647E-3</v>
      </c>
      <c r="F8" s="3">
        <f t="shared" si="2"/>
        <v>3.5978708456418582E-2</v>
      </c>
      <c r="G8" s="7">
        <f t="shared" si="3"/>
        <v>0</v>
      </c>
      <c r="H8" s="7">
        <f t="shared" si="4"/>
        <v>0</v>
      </c>
      <c r="I8" s="7">
        <f t="shared" si="5"/>
        <v>0</v>
      </c>
    </row>
    <row r="9" spans="3:9" x14ac:dyDescent="0.25">
      <c r="C9" s="2">
        <v>5</v>
      </c>
      <c r="D9" s="3">
        <f t="shared" si="0"/>
        <v>4.9958395721942765E-2</v>
      </c>
      <c r="E9" s="3">
        <f t="shared" si="1"/>
        <v>-4.9999583339583225E-3</v>
      </c>
      <c r="F9" s="3">
        <f t="shared" si="2"/>
        <v>4.495843738798444E-2</v>
      </c>
      <c r="G9" s="7">
        <f t="shared" si="3"/>
        <v>0</v>
      </c>
      <c r="H9" s="7">
        <f t="shared" si="4"/>
        <v>0</v>
      </c>
      <c r="I9" s="7">
        <f t="shared" si="5"/>
        <v>0</v>
      </c>
    </row>
    <row r="10" spans="3:9" x14ac:dyDescent="0.25">
      <c r="C10" s="2">
        <v>6</v>
      </c>
      <c r="D10" s="3">
        <f t="shared" si="0"/>
        <v>5.9928155121207881E-2</v>
      </c>
      <c r="E10" s="3">
        <f>-ATAN(C10/1000)</f>
        <v>-5.9999280015551604E-3</v>
      </c>
      <c r="F10" s="3">
        <f t="shared" si="2"/>
        <v>5.392822711965272E-2</v>
      </c>
      <c r="G10" s="7">
        <f>IF(C10&lt;100,0,PI()/2)</f>
        <v>0</v>
      </c>
      <c r="H10" s="7">
        <f t="shared" si="4"/>
        <v>0</v>
      </c>
      <c r="I10" s="7">
        <f t="shared" si="5"/>
        <v>0</v>
      </c>
    </row>
    <row r="11" spans="3:9" x14ac:dyDescent="0.25">
      <c r="C11" s="2">
        <v>7</v>
      </c>
      <c r="D11" s="3">
        <f t="shared" si="0"/>
        <v>6.9886001634642508E-2</v>
      </c>
      <c r="E11" s="3">
        <f t="shared" si="1"/>
        <v>-6.9998856700279489E-3</v>
      </c>
      <c r="F11" s="3">
        <f t="shared" si="2"/>
        <v>6.2886115964614561E-2</v>
      </c>
      <c r="G11" s="7">
        <f t="shared" si="3"/>
        <v>0</v>
      </c>
      <c r="H11" s="7">
        <f t="shared" si="4"/>
        <v>0</v>
      </c>
      <c r="I11" s="7">
        <f t="shared" si="5"/>
        <v>0</v>
      </c>
    </row>
    <row r="12" spans="3:9" x14ac:dyDescent="0.25">
      <c r="C12" s="2">
        <v>8</v>
      </c>
      <c r="D12" s="3">
        <f t="shared" si="0"/>
        <v>7.9829985712237317E-2</v>
      </c>
      <c r="E12" s="3">
        <f t="shared" si="1"/>
        <v>-7.9998293398866344E-3</v>
      </c>
      <c r="F12" s="3">
        <f t="shared" si="2"/>
        <v>7.1830156372350684E-2</v>
      </c>
      <c r="G12" s="7">
        <f t="shared" si="3"/>
        <v>0</v>
      </c>
      <c r="H12" s="7">
        <f t="shared" si="4"/>
        <v>0</v>
      </c>
      <c r="I12" s="7">
        <f t="shared" si="5"/>
        <v>0</v>
      </c>
    </row>
    <row r="13" spans="3:9" x14ac:dyDescent="0.25">
      <c r="C13" s="2">
        <v>9</v>
      </c>
      <c r="D13" s="3">
        <f t="shared" si="0"/>
        <v>8.9758174189950524E-2</v>
      </c>
      <c r="E13" s="3">
        <f t="shared" si="1"/>
        <v>-8.9997570118091168E-3</v>
      </c>
      <c r="F13" s="3">
        <f t="shared" si="2"/>
        <v>8.0758417178141403E-2</v>
      </c>
      <c r="G13" s="7">
        <f t="shared" si="3"/>
        <v>0</v>
      </c>
      <c r="H13" s="7">
        <f t="shared" si="4"/>
        <v>0</v>
      </c>
      <c r="I13" s="7">
        <f t="shared" si="5"/>
        <v>0</v>
      </c>
    </row>
    <row r="14" spans="3:9" x14ac:dyDescent="0.25">
      <c r="C14" s="2">
        <v>10</v>
      </c>
      <c r="D14" s="3">
        <f>ATAN(C14/100)</f>
        <v>9.9668652491162038E-2</v>
      </c>
      <c r="E14" s="3">
        <f>-ATAN(C14/1000)</f>
        <v>-9.9996666866652376E-3</v>
      </c>
      <c r="F14" s="3">
        <f t="shared" si="2"/>
        <v>8.9668985804496795E-2</v>
      </c>
      <c r="G14" s="7">
        <f t="shared" si="3"/>
        <v>0</v>
      </c>
      <c r="H14" s="7">
        <f t="shared" si="4"/>
        <v>0</v>
      </c>
      <c r="I14" s="7">
        <f>G14+H14</f>
        <v>0</v>
      </c>
    </row>
    <row r="15" spans="3:9" x14ac:dyDescent="0.25">
      <c r="C15" s="2" cm="1">
        <f t="array" ref="C15:C23">C6:C14*10</f>
        <v>20</v>
      </c>
      <c r="D15" s="3">
        <f t="shared" si="0"/>
        <v>0.19739555984988078</v>
      </c>
      <c r="E15" s="3">
        <f>-ATAN(C15/1000)</f>
        <v>-1.9997333973150535E-2</v>
      </c>
      <c r="F15" s="3">
        <f t="shared" si="2"/>
        <v>0.17739822587673024</v>
      </c>
      <c r="G15" s="7">
        <f t="shared" si="3"/>
        <v>0</v>
      </c>
      <c r="H15" s="7">
        <f t="shared" si="4"/>
        <v>0</v>
      </c>
      <c r="I15" s="7">
        <f t="shared" si="5"/>
        <v>0</v>
      </c>
    </row>
    <row r="16" spans="3:9" x14ac:dyDescent="0.25">
      <c r="C16" s="2">
        <v>30</v>
      </c>
      <c r="D16" s="3">
        <f t="shared" si="0"/>
        <v>0.2914567944778671</v>
      </c>
      <c r="E16" s="3">
        <f t="shared" si="1"/>
        <v>-2.99910048568779E-2</v>
      </c>
      <c r="F16" s="3">
        <f t="shared" si="2"/>
        <v>0.26146578962098921</v>
      </c>
      <c r="G16" s="7">
        <f t="shared" si="3"/>
        <v>0</v>
      </c>
      <c r="H16" s="7">
        <f t="shared" si="4"/>
        <v>0</v>
      </c>
      <c r="I16" s="7">
        <f t="shared" si="5"/>
        <v>0</v>
      </c>
    </row>
    <row r="17" spans="3:9" x14ac:dyDescent="0.25">
      <c r="C17" s="2">
        <v>40</v>
      </c>
      <c r="D17" s="3">
        <f t="shared" si="0"/>
        <v>0.3805063771123649</v>
      </c>
      <c r="E17" s="3">
        <f t="shared" si="1"/>
        <v>-3.9978687123290044E-2</v>
      </c>
      <c r="F17" s="3">
        <f t="shared" si="2"/>
        <v>0.34052768998907484</v>
      </c>
      <c r="G17" s="7">
        <f t="shared" si="3"/>
        <v>0</v>
      </c>
      <c r="H17" s="7">
        <f t="shared" si="4"/>
        <v>0</v>
      </c>
      <c r="I17" s="7">
        <f t="shared" si="5"/>
        <v>0</v>
      </c>
    </row>
    <row r="18" spans="3:9" x14ac:dyDescent="0.25">
      <c r="C18" s="2">
        <v>50</v>
      </c>
      <c r="D18" s="3">
        <f t="shared" si="0"/>
        <v>0.46364760900080609</v>
      </c>
      <c r="E18" s="3">
        <f t="shared" si="1"/>
        <v>-4.9958395721942765E-2</v>
      </c>
      <c r="F18" s="3">
        <f t="shared" si="2"/>
        <v>0.41368921327886332</v>
      </c>
      <c r="G18" s="7">
        <f t="shared" si="3"/>
        <v>0</v>
      </c>
      <c r="H18" s="7">
        <f t="shared" si="4"/>
        <v>0</v>
      </c>
      <c r="I18" s="7">
        <f t="shared" si="5"/>
        <v>0</v>
      </c>
    </row>
    <row r="19" spans="3:9" x14ac:dyDescent="0.25">
      <c r="C19" s="2">
        <v>60</v>
      </c>
      <c r="D19" s="3">
        <f t="shared" si="0"/>
        <v>0.54041950027058416</v>
      </c>
      <c r="E19" s="3">
        <f t="shared" si="1"/>
        <v>-5.9928155121207881E-2</v>
      </c>
      <c r="F19" s="3">
        <f t="shared" si="2"/>
        <v>0.4804913451493763</v>
      </c>
      <c r="G19" s="7">
        <f t="shared" si="3"/>
        <v>0</v>
      </c>
      <c r="H19" s="7">
        <f t="shared" si="4"/>
        <v>0</v>
      </c>
      <c r="I19" s="7">
        <f t="shared" si="5"/>
        <v>0</v>
      </c>
    </row>
    <row r="20" spans="3:9" x14ac:dyDescent="0.25">
      <c r="C20" s="2">
        <v>70</v>
      </c>
      <c r="D20" s="3">
        <f t="shared" si="0"/>
        <v>0.61072596438920856</v>
      </c>
      <c r="E20" s="3">
        <f t="shared" si="1"/>
        <v>-6.9886001634642508E-2</v>
      </c>
      <c r="F20" s="3">
        <f t="shared" si="2"/>
        <v>0.54083996275456603</v>
      </c>
      <c r="G20" s="7">
        <f t="shared" si="3"/>
        <v>0</v>
      </c>
      <c r="H20" s="7">
        <f t="shared" si="4"/>
        <v>0</v>
      </c>
      <c r="I20" s="7">
        <f t="shared" si="5"/>
        <v>0</v>
      </c>
    </row>
    <row r="21" spans="3:9" x14ac:dyDescent="0.25">
      <c r="C21" s="2">
        <v>80</v>
      </c>
      <c r="D21" s="3">
        <f t="shared" si="0"/>
        <v>0.67474094222355274</v>
      </c>
      <c r="E21" s="3">
        <f t="shared" si="1"/>
        <v>-7.9829985712237317E-2</v>
      </c>
      <c r="F21" s="3">
        <f t="shared" si="2"/>
        <v>0.59491095651131543</v>
      </c>
      <c r="G21" s="7">
        <f t="shared" si="3"/>
        <v>0</v>
      </c>
      <c r="H21" s="7">
        <f t="shared" si="4"/>
        <v>0</v>
      </c>
      <c r="I21" s="7">
        <f t="shared" si="5"/>
        <v>0</v>
      </c>
    </row>
    <row r="22" spans="3:9" x14ac:dyDescent="0.25">
      <c r="C22" s="2">
        <v>90</v>
      </c>
      <c r="D22" s="3">
        <f t="shared" si="0"/>
        <v>0.73281510178650655</v>
      </c>
      <c r="E22" s="3">
        <f t="shared" si="1"/>
        <v>-8.9758174189950524E-2</v>
      </c>
      <c r="F22" s="3">
        <f t="shared" si="2"/>
        <v>0.64305692759655608</v>
      </c>
      <c r="G22" s="7">
        <f t="shared" si="3"/>
        <v>0</v>
      </c>
      <c r="H22" s="7">
        <f t="shared" si="4"/>
        <v>0</v>
      </c>
      <c r="I22" s="7">
        <f t="shared" si="5"/>
        <v>0</v>
      </c>
    </row>
    <row r="23" spans="3:9" x14ac:dyDescent="0.25">
      <c r="C23" s="2">
        <v>100</v>
      </c>
      <c r="D23" s="3">
        <f t="shared" si="0"/>
        <v>0.78539816339744828</v>
      </c>
      <c r="E23" s="3">
        <f t="shared" si="1"/>
        <v>-9.9668652491162038E-2</v>
      </c>
      <c r="F23" s="3">
        <f t="shared" si="2"/>
        <v>0.6857295109062862</v>
      </c>
      <c r="G23" s="7">
        <f t="shared" si="3"/>
        <v>1.5707963267948966</v>
      </c>
      <c r="H23" s="7">
        <f t="shared" si="4"/>
        <v>0</v>
      </c>
      <c r="I23" s="7">
        <f t="shared" si="5"/>
        <v>1.5707963267948966</v>
      </c>
    </row>
    <row r="24" spans="3:9" x14ac:dyDescent="0.25">
      <c r="C24" s="2" cm="1">
        <f t="array" ref="C24:C32">_xlfn.ANCHORARRAY(C15)*10</f>
        <v>200</v>
      </c>
      <c r="D24" s="3">
        <f t="shared" si="0"/>
        <v>1.1071487177940904</v>
      </c>
      <c r="E24" s="3">
        <f t="shared" si="1"/>
        <v>-0.19739555984988078</v>
      </c>
      <c r="F24" s="3">
        <f t="shared" si="2"/>
        <v>0.90975315794420963</v>
      </c>
      <c r="G24" s="7">
        <f t="shared" si="3"/>
        <v>1.5707963267948966</v>
      </c>
      <c r="H24" s="7">
        <f t="shared" si="4"/>
        <v>0</v>
      </c>
      <c r="I24" s="7">
        <f t="shared" si="5"/>
        <v>1.5707963267948966</v>
      </c>
    </row>
    <row r="25" spans="3:9" x14ac:dyDescent="0.25">
      <c r="C25" s="2">
        <v>300</v>
      </c>
      <c r="D25" s="3">
        <f t="shared" si="0"/>
        <v>1.2490457723982544</v>
      </c>
      <c r="E25" s="3">
        <f t="shared" si="1"/>
        <v>-0.2914567944778671</v>
      </c>
      <c r="F25" s="3">
        <f t="shared" si="2"/>
        <v>0.95758897792038733</v>
      </c>
      <c r="G25" s="7">
        <f t="shared" si="3"/>
        <v>1.5707963267948966</v>
      </c>
      <c r="H25" s="7">
        <f t="shared" si="4"/>
        <v>0</v>
      </c>
      <c r="I25" s="7">
        <f t="shared" si="5"/>
        <v>1.5707963267948966</v>
      </c>
    </row>
    <row r="26" spans="3:9" x14ac:dyDescent="0.25">
      <c r="C26" s="2">
        <v>400</v>
      </c>
      <c r="D26" s="3">
        <f t="shared" si="0"/>
        <v>1.3258176636680326</v>
      </c>
      <c r="E26" s="3">
        <f t="shared" si="1"/>
        <v>-0.3805063771123649</v>
      </c>
      <c r="F26" s="3">
        <f t="shared" si="2"/>
        <v>0.94531128655566765</v>
      </c>
      <c r="G26" s="7">
        <f t="shared" si="3"/>
        <v>1.5707963267948966</v>
      </c>
      <c r="H26" s="7">
        <f t="shared" si="4"/>
        <v>0</v>
      </c>
      <c r="I26" s="7">
        <f t="shared" si="5"/>
        <v>1.5707963267948966</v>
      </c>
    </row>
    <row r="27" spans="3:9" x14ac:dyDescent="0.25">
      <c r="C27" s="2">
        <v>500</v>
      </c>
      <c r="D27" s="3">
        <f t="shared" si="0"/>
        <v>1.3734007669450159</v>
      </c>
      <c r="E27" s="3">
        <f t="shared" si="1"/>
        <v>-0.46364760900080609</v>
      </c>
      <c r="F27" s="3">
        <f t="shared" si="2"/>
        <v>0.90975315794420974</v>
      </c>
      <c r="G27" s="7">
        <f t="shared" si="3"/>
        <v>1.5707963267948966</v>
      </c>
      <c r="H27" s="7">
        <f t="shared" si="4"/>
        <v>0</v>
      </c>
      <c r="I27" s="7">
        <f t="shared" si="5"/>
        <v>1.5707963267948966</v>
      </c>
    </row>
    <row r="28" spans="3:9" x14ac:dyDescent="0.25">
      <c r="C28" s="2">
        <v>600</v>
      </c>
      <c r="D28" s="3">
        <f t="shared" si="0"/>
        <v>1.4056476493802699</v>
      </c>
      <c r="E28" s="3">
        <f t="shared" si="1"/>
        <v>-0.54041950027058416</v>
      </c>
      <c r="F28" s="3">
        <f t="shared" si="2"/>
        <v>0.86522814910968571</v>
      </c>
      <c r="G28" s="7">
        <f t="shared" si="3"/>
        <v>1.5707963267948966</v>
      </c>
      <c r="H28" s="7">
        <f t="shared" si="4"/>
        <v>0</v>
      </c>
      <c r="I28" s="7">
        <f t="shared" si="5"/>
        <v>1.5707963267948966</v>
      </c>
    </row>
    <row r="29" spans="3:9" x14ac:dyDescent="0.25">
      <c r="C29" s="2">
        <v>700</v>
      </c>
      <c r="D29" s="3">
        <f t="shared" si="0"/>
        <v>1.4288992721907328</v>
      </c>
      <c r="E29" s="3">
        <f t="shared" si="1"/>
        <v>-0.61072596438920856</v>
      </c>
      <c r="F29" s="3">
        <f t="shared" si="2"/>
        <v>0.8181733078015242</v>
      </c>
      <c r="G29" s="7">
        <f t="shared" si="3"/>
        <v>1.5707963267948966</v>
      </c>
      <c r="H29" s="7">
        <f t="shared" si="4"/>
        <v>0</v>
      </c>
      <c r="I29" s="7">
        <f t="shared" si="5"/>
        <v>1.5707963267948966</v>
      </c>
    </row>
    <row r="30" spans="3:9" x14ac:dyDescent="0.25">
      <c r="C30" s="2">
        <v>800</v>
      </c>
      <c r="D30" s="3">
        <f t="shared" si="0"/>
        <v>1.4464413322481351</v>
      </c>
      <c r="E30" s="3">
        <f t="shared" si="1"/>
        <v>-0.67474094222355274</v>
      </c>
      <c r="F30" s="3">
        <f t="shared" si="2"/>
        <v>0.77170039002458235</v>
      </c>
      <c r="G30" s="7">
        <f t="shared" si="3"/>
        <v>1.5707963267948966</v>
      </c>
      <c r="H30" s="7">
        <f t="shared" si="4"/>
        <v>0</v>
      </c>
      <c r="I30" s="7">
        <f t="shared" si="5"/>
        <v>1.5707963267948966</v>
      </c>
    </row>
    <row r="31" spans="3:9" x14ac:dyDescent="0.25">
      <c r="C31" s="2">
        <v>900</v>
      </c>
      <c r="D31" s="3">
        <f t="shared" si="0"/>
        <v>1.4601391056210009</v>
      </c>
      <c r="E31" s="3">
        <f t="shared" si="1"/>
        <v>-0.73281510178650655</v>
      </c>
      <c r="F31" s="3">
        <f t="shared" si="2"/>
        <v>0.72732400383449436</v>
      </c>
      <c r="G31" s="7">
        <f t="shared" si="3"/>
        <v>1.5707963267948966</v>
      </c>
      <c r="H31" s="7">
        <f t="shared" si="4"/>
        <v>0</v>
      </c>
      <c r="I31" s="7">
        <f t="shared" si="5"/>
        <v>1.5707963267948966</v>
      </c>
    </row>
    <row r="32" spans="3:9" x14ac:dyDescent="0.25">
      <c r="C32" s="2">
        <v>1000</v>
      </c>
      <c r="D32" s="3">
        <f t="shared" si="0"/>
        <v>1.4711276743037347</v>
      </c>
      <c r="E32" s="3">
        <f t="shared" si="1"/>
        <v>-0.78539816339744828</v>
      </c>
      <c r="F32" s="3">
        <f t="shared" si="2"/>
        <v>0.68572951090628642</v>
      </c>
      <c r="G32" s="7">
        <f t="shared" si="3"/>
        <v>1.5707963267948966</v>
      </c>
      <c r="H32" s="7">
        <f t="shared" si="4"/>
        <v>-1.5707963267948966</v>
      </c>
      <c r="I32" s="7">
        <f t="shared" si="5"/>
        <v>0</v>
      </c>
    </row>
    <row r="33" spans="3:9" x14ac:dyDescent="0.25">
      <c r="C33" s="2" cm="1">
        <f t="array" ref="C33:C41">_xlfn.ANCHORARRAY(C24)*10</f>
        <v>2000</v>
      </c>
      <c r="D33" s="3">
        <f t="shared" si="0"/>
        <v>1.5208379310729538</v>
      </c>
      <c r="E33" s="3">
        <f t="shared" si="1"/>
        <v>-1.1071487177940904</v>
      </c>
      <c r="F33" s="3">
        <f t="shared" si="2"/>
        <v>0.41368921327886343</v>
      </c>
      <c r="G33" s="7">
        <f t="shared" si="3"/>
        <v>1.5707963267948966</v>
      </c>
      <c r="H33" s="7">
        <f t="shared" si="4"/>
        <v>-1.5707963267948966</v>
      </c>
      <c r="I33" s="7">
        <f t="shared" si="5"/>
        <v>0</v>
      </c>
    </row>
    <row r="34" spans="3:9" x14ac:dyDescent="0.25">
      <c r="C34" s="2">
        <v>3000</v>
      </c>
      <c r="D34" s="3">
        <f t="shared" si="0"/>
        <v>1.5374753309166493</v>
      </c>
      <c r="E34" s="3">
        <f t="shared" si="1"/>
        <v>-1.2490457723982544</v>
      </c>
      <c r="F34" s="3">
        <f t="shared" si="2"/>
        <v>0.28842955851839491</v>
      </c>
      <c r="G34" s="7">
        <f t="shared" si="3"/>
        <v>1.5707963267948966</v>
      </c>
      <c r="H34" s="7">
        <f t="shared" si="4"/>
        <v>-1.5707963267948966</v>
      </c>
      <c r="I34" s="7">
        <f t="shared" si="5"/>
        <v>0</v>
      </c>
    </row>
    <row r="35" spans="3:9" x14ac:dyDescent="0.25">
      <c r="C35" s="2">
        <v>4000</v>
      </c>
      <c r="D35" s="3">
        <f t="shared" si="0"/>
        <v>1.5458015331759765</v>
      </c>
      <c r="E35" s="3">
        <f t="shared" si="1"/>
        <v>-1.3258176636680326</v>
      </c>
      <c r="F35" s="3">
        <f t="shared" si="2"/>
        <v>0.21998386950794391</v>
      </c>
      <c r="G35" s="7">
        <f t="shared" si="3"/>
        <v>1.5707963267948966</v>
      </c>
      <c r="H35" s="7">
        <f t="shared" si="4"/>
        <v>-1.5707963267948966</v>
      </c>
      <c r="I35" s="7">
        <f t="shared" si="5"/>
        <v>0</v>
      </c>
    </row>
    <row r="36" spans="3:9" x14ac:dyDescent="0.25">
      <c r="C36" s="2">
        <v>5000</v>
      </c>
      <c r="D36" s="3">
        <f t="shared" si="0"/>
        <v>1.550798992821746</v>
      </c>
      <c r="E36" s="3">
        <f t="shared" si="1"/>
        <v>-1.3734007669450159</v>
      </c>
      <c r="F36" s="3">
        <f t="shared" si="2"/>
        <v>0.17739822587673015</v>
      </c>
      <c r="G36" s="7">
        <f t="shared" si="3"/>
        <v>1.5707963267948966</v>
      </c>
      <c r="H36" s="7">
        <f t="shared" si="4"/>
        <v>-1.5707963267948966</v>
      </c>
      <c r="I36" s="7">
        <f t="shared" si="5"/>
        <v>0</v>
      </c>
    </row>
    <row r="37" spans="3:9" x14ac:dyDescent="0.25">
      <c r="C37" s="2">
        <v>6000</v>
      </c>
      <c r="D37" s="3">
        <f t="shared" si="0"/>
        <v>1.554131203080956</v>
      </c>
      <c r="E37" s="3">
        <f t="shared" si="1"/>
        <v>-1.4056476493802699</v>
      </c>
      <c r="F37" s="3">
        <f t="shared" si="2"/>
        <v>0.14848355370068611</v>
      </c>
      <c r="G37" s="7">
        <f t="shared" si="3"/>
        <v>1.5707963267948966</v>
      </c>
      <c r="H37" s="7">
        <f t="shared" si="4"/>
        <v>-1.5707963267948966</v>
      </c>
      <c r="I37" s="7">
        <f t="shared" si="5"/>
        <v>0</v>
      </c>
    </row>
    <row r="38" spans="3:9" x14ac:dyDescent="0.25">
      <c r="C38" s="2">
        <v>7000</v>
      </c>
      <c r="D38" s="3">
        <f t="shared" si="0"/>
        <v>1.5565115842074999</v>
      </c>
      <c r="E38" s="3">
        <f t="shared" si="1"/>
        <v>-1.4288992721907328</v>
      </c>
      <c r="F38" s="3">
        <f t="shared" si="2"/>
        <v>0.12761231201676715</v>
      </c>
      <c r="G38" s="7">
        <f t="shared" si="3"/>
        <v>1.5707963267948966</v>
      </c>
      <c r="H38" s="7">
        <f t="shared" si="4"/>
        <v>-1.5707963267948966</v>
      </c>
      <c r="I38" s="7">
        <f t="shared" si="5"/>
        <v>0</v>
      </c>
    </row>
    <row r="39" spans="3:9" x14ac:dyDescent="0.25">
      <c r="C39" s="2">
        <v>8000</v>
      </c>
      <c r="D39" s="3">
        <f t="shared" si="0"/>
        <v>1.5582969777755349</v>
      </c>
      <c r="E39" s="3">
        <f t="shared" si="1"/>
        <v>-1.4464413322481351</v>
      </c>
      <c r="F39" s="3">
        <f t="shared" si="2"/>
        <v>0.11185564552739979</v>
      </c>
      <c r="G39" s="7">
        <f t="shared" si="3"/>
        <v>1.5707963267948966</v>
      </c>
      <c r="H39" s="7">
        <f t="shared" si="4"/>
        <v>-1.5707963267948966</v>
      </c>
      <c r="I39" s="7">
        <f t="shared" si="5"/>
        <v>0</v>
      </c>
    </row>
    <row r="40" spans="3:9" x14ac:dyDescent="0.25">
      <c r="C40" s="2">
        <v>9000</v>
      </c>
      <c r="D40" s="3">
        <f t="shared" si="0"/>
        <v>1.5596856728972892</v>
      </c>
      <c r="E40" s="3">
        <f t="shared" si="1"/>
        <v>-1.4601391056210009</v>
      </c>
      <c r="F40" s="3">
        <f t="shared" si="2"/>
        <v>9.95465672762883E-2</v>
      </c>
      <c r="G40" s="7">
        <f t="shared" si="3"/>
        <v>1.5707963267948966</v>
      </c>
      <c r="H40" s="7">
        <f t="shared" si="4"/>
        <v>-1.5707963267948966</v>
      </c>
      <c r="I40" s="7">
        <f t="shared" si="5"/>
        <v>0</v>
      </c>
    </row>
    <row r="41" spans="3:9" x14ac:dyDescent="0.25">
      <c r="C41" s="2">
        <v>10000</v>
      </c>
      <c r="D41" s="3">
        <f t="shared" si="0"/>
        <v>1.5607966601082315</v>
      </c>
      <c r="E41" s="3">
        <f t="shared" si="1"/>
        <v>-1.4711276743037347</v>
      </c>
      <c r="F41" s="3">
        <f t="shared" si="2"/>
        <v>8.9668985804496781E-2</v>
      </c>
      <c r="G41" s="7">
        <f t="shared" si="3"/>
        <v>1.5707963267948966</v>
      </c>
      <c r="H41" s="7">
        <f t="shared" si="4"/>
        <v>-1.5707963267948966</v>
      </c>
      <c r="I41" s="7">
        <f t="shared" si="5"/>
        <v>0</v>
      </c>
    </row>
    <row r="42" spans="3:9" x14ac:dyDescent="0.25">
      <c r="C42" s="2" cm="1">
        <f t="array" ref="C42:C50">_xlfn.ANCHORARRAY(C33)*10</f>
        <v>20000</v>
      </c>
      <c r="D42" s="3">
        <f t="shared" si="0"/>
        <v>1.5657963684609384</v>
      </c>
      <c r="E42" s="3">
        <f t="shared" si="1"/>
        <v>-1.5208379310729538</v>
      </c>
      <c r="F42" s="3">
        <f t="shared" si="2"/>
        <v>4.4958437387984551E-2</v>
      </c>
      <c r="G42" s="7">
        <f t="shared" si="3"/>
        <v>1.5707963267948966</v>
      </c>
      <c r="H42" s="7">
        <f t="shared" si="4"/>
        <v>-1.5707963267948966</v>
      </c>
      <c r="I42" s="7">
        <f t="shared" si="5"/>
        <v>0</v>
      </c>
    </row>
    <row r="43" spans="3:9" x14ac:dyDescent="0.25">
      <c r="C43" s="2">
        <v>30000</v>
      </c>
      <c r="D43" s="3">
        <f t="shared" si="0"/>
        <v>1.5674630058071599</v>
      </c>
      <c r="E43" s="3">
        <f t="shared" si="1"/>
        <v>-1.5374753309166493</v>
      </c>
      <c r="F43" s="3">
        <f t="shared" si="2"/>
        <v>2.9987674890510574E-2</v>
      </c>
      <c r="G43" s="7">
        <f t="shared" si="3"/>
        <v>1.5707963267948966</v>
      </c>
      <c r="H43" s="7">
        <f t="shared" si="4"/>
        <v>-1.5707963267948966</v>
      </c>
      <c r="I43" s="7">
        <f t="shared" si="5"/>
        <v>0</v>
      </c>
    </row>
    <row r="44" spans="3:9" x14ac:dyDescent="0.25">
      <c r="C44" s="2">
        <v>40000</v>
      </c>
      <c r="D44" s="3">
        <f t="shared" si="0"/>
        <v>1.5682963320032104</v>
      </c>
      <c r="E44" s="3">
        <f t="shared" si="1"/>
        <v>-1.5458015331759765</v>
      </c>
      <c r="F44" s="3">
        <f t="shared" si="2"/>
        <v>2.2494798827233931E-2</v>
      </c>
      <c r="G44" s="7">
        <f t="shared" si="3"/>
        <v>1.5707963267948966</v>
      </c>
      <c r="H44" s="7">
        <f t="shared" si="4"/>
        <v>-1.5707963267948966</v>
      </c>
      <c r="I44" s="7">
        <f t="shared" si="5"/>
        <v>0</v>
      </c>
    </row>
    <row r="45" spans="3:9" x14ac:dyDescent="0.25">
      <c r="C45" s="2">
        <v>50000</v>
      </c>
      <c r="D45" s="3">
        <f t="shared" si="0"/>
        <v>1.5687963294615568</v>
      </c>
      <c r="E45" s="3">
        <f t="shared" si="1"/>
        <v>-1.550798992821746</v>
      </c>
      <c r="F45" s="3">
        <f t="shared" si="2"/>
        <v>1.7997336639810735E-2</v>
      </c>
      <c r="G45" s="7">
        <f t="shared" si="3"/>
        <v>1.5707963267948966</v>
      </c>
      <c r="H45" s="7">
        <f t="shared" si="4"/>
        <v>-1.5707963267948966</v>
      </c>
      <c r="I45" s="7">
        <f t="shared" si="5"/>
        <v>0</v>
      </c>
    </row>
    <row r="46" spans="3:9" x14ac:dyDescent="0.25">
      <c r="C46" s="2">
        <v>60000</v>
      </c>
      <c r="D46" s="3">
        <f t="shared" si="0"/>
        <v>1.5691296616714372</v>
      </c>
      <c r="E46" s="3">
        <f t="shared" si="1"/>
        <v>-1.554131203080956</v>
      </c>
      <c r="F46" s="3">
        <f t="shared" si="2"/>
        <v>1.4998458590481212E-2</v>
      </c>
      <c r="G46" s="7">
        <f t="shared" si="3"/>
        <v>1.5707963267948966</v>
      </c>
      <c r="H46" s="7">
        <f t="shared" si="4"/>
        <v>-1.5707963267948966</v>
      </c>
      <c r="I46" s="7">
        <f t="shared" si="5"/>
        <v>0</v>
      </c>
    </row>
    <row r="47" spans="3:9" x14ac:dyDescent="0.25">
      <c r="C47" s="2">
        <v>70000</v>
      </c>
      <c r="D47" s="3">
        <f t="shared" si="0"/>
        <v>1.5693677563381414</v>
      </c>
      <c r="E47" s="3">
        <f t="shared" si="1"/>
        <v>-1.5565115842074999</v>
      </c>
      <c r="F47" s="3">
        <f t="shared" si="2"/>
        <v>1.2856172130641497E-2</v>
      </c>
      <c r="G47" s="7">
        <f t="shared" si="3"/>
        <v>1.5707963267948966</v>
      </c>
      <c r="H47" s="7">
        <f t="shared" si="4"/>
        <v>-1.5707963267948966</v>
      </c>
      <c r="I47" s="7">
        <f t="shared" si="5"/>
        <v>0</v>
      </c>
    </row>
    <row r="48" spans="3:9" x14ac:dyDescent="0.25">
      <c r="C48" s="2">
        <v>80000</v>
      </c>
      <c r="D48" s="3">
        <f t="shared" si="0"/>
        <v>1.5695463274459376</v>
      </c>
      <c r="E48" s="3">
        <f t="shared" si="1"/>
        <v>-1.5582969777755349</v>
      </c>
      <c r="F48" s="3">
        <f t="shared" si="2"/>
        <v>1.1249349670402697E-2</v>
      </c>
      <c r="G48" s="7">
        <f t="shared" si="3"/>
        <v>1.5707963267948966</v>
      </c>
      <c r="H48" s="7">
        <f t="shared" si="4"/>
        <v>-1.5707963267948966</v>
      </c>
      <c r="I48" s="7">
        <f t="shared" si="5"/>
        <v>0</v>
      </c>
    </row>
    <row r="49" spans="3:9" x14ac:dyDescent="0.25">
      <c r="C49" s="2">
        <v>90000</v>
      </c>
      <c r="D49" s="3">
        <f t="shared" si="0"/>
        <v>1.5696852161410326</v>
      </c>
      <c r="E49" s="3">
        <f t="shared" si="1"/>
        <v>-1.5596856728972892</v>
      </c>
      <c r="F49" s="3">
        <f t="shared" si="2"/>
        <v>9.999543243743414E-3</v>
      </c>
      <c r="G49" s="7">
        <f t="shared" si="3"/>
        <v>1.5707963267948966</v>
      </c>
      <c r="H49" s="7">
        <f t="shared" si="4"/>
        <v>-1.5707963267948966</v>
      </c>
      <c r="I49" s="7">
        <f t="shared" si="5"/>
        <v>0</v>
      </c>
    </row>
    <row r="50" spans="3:9" x14ac:dyDescent="0.25">
      <c r="C50" s="2">
        <v>100000</v>
      </c>
      <c r="D50" s="3">
        <f t="shared" si="0"/>
        <v>1.5697963271282298</v>
      </c>
      <c r="E50" s="3">
        <f t="shared" si="1"/>
        <v>-1.5607966601082315</v>
      </c>
      <c r="F50" s="3">
        <f t="shared" si="2"/>
        <v>8.9996670199983253E-3</v>
      </c>
      <c r="G50" s="7">
        <f t="shared" si="3"/>
        <v>1.5707963267948966</v>
      </c>
      <c r="H50" s="7">
        <f t="shared" si="4"/>
        <v>-1.5707963267948966</v>
      </c>
      <c r="I50" s="7">
        <f t="shared" si="5"/>
        <v>0</v>
      </c>
    </row>
    <row r="51" spans="3:9" x14ac:dyDescent="0.25">
      <c r="C51" s="2" cm="1">
        <f t="array" ref="C51:C59">_xlfn.ANCHORARRAY(C42)*10</f>
        <v>200000</v>
      </c>
      <c r="D51" s="3">
        <f t="shared" si="0"/>
        <v>1.5702963268365633</v>
      </c>
      <c r="E51" s="3">
        <f t="shared" si="1"/>
        <v>-1.5657963684609384</v>
      </c>
      <c r="F51" s="3">
        <f t="shared" si="2"/>
        <v>4.4999583756248906E-3</v>
      </c>
      <c r="G51" s="7">
        <f t="shared" si="3"/>
        <v>1.5707963267948966</v>
      </c>
      <c r="H51" s="7">
        <f t="shared" si="4"/>
        <v>-1.5707963267948966</v>
      </c>
      <c r="I51" s="7">
        <f t="shared" si="5"/>
        <v>0</v>
      </c>
    </row>
    <row r="52" spans="3:9" x14ac:dyDescent="0.25">
      <c r="C52" s="2">
        <v>300000</v>
      </c>
      <c r="D52" s="3">
        <f t="shared" si="0"/>
        <v>1.5704629934739089</v>
      </c>
      <c r="E52" s="3">
        <f t="shared" si="1"/>
        <v>-1.5674630058071599</v>
      </c>
      <c r="F52" s="3">
        <f t="shared" si="2"/>
        <v>2.9999876667490266E-3</v>
      </c>
      <c r="G52" s="7">
        <f t="shared" si="3"/>
        <v>1.5707963267948966</v>
      </c>
      <c r="H52" s="7">
        <f t="shared" si="4"/>
        <v>-1.5707963267948966</v>
      </c>
      <c r="I52" s="7">
        <f t="shared" si="5"/>
        <v>0</v>
      </c>
    </row>
    <row r="53" spans="3:9" x14ac:dyDescent="0.25">
      <c r="C53" s="2">
        <v>400000</v>
      </c>
      <c r="D53" s="3">
        <f t="shared" si="0"/>
        <v>1.570546326800105</v>
      </c>
      <c r="E53" s="3">
        <f t="shared" si="1"/>
        <v>-1.5682963320032104</v>
      </c>
      <c r="F53" s="3">
        <f t="shared" si="2"/>
        <v>2.2499947968945833E-3</v>
      </c>
      <c r="G53" s="7">
        <f t="shared" si="3"/>
        <v>1.5707963267948966</v>
      </c>
      <c r="H53" s="7">
        <f t="shared" si="4"/>
        <v>-1.5707963267948966</v>
      </c>
      <c r="I53" s="7">
        <f t="shared" si="5"/>
        <v>0</v>
      </c>
    </row>
    <row r="54" spans="3:9" x14ac:dyDescent="0.25">
      <c r="C54" s="2">
        <v>500000</v>
      </c>
      <c r="D54" s="3">
        <f t="shared" si="0"/>
        <v>1.5705963267975633</v>
      </c>
      <c r="E54" s="3">
        <f t="shared" si="1"/>
        <v>-1.5687963294615568</v>
      </c>
      <c r="F54" s="3">
        <f t="shared" si="2"/>
        <v>1.7999973360065535E-3</v>
      </c>
      <c r="G54" s="7">
        <f t="shared" si="3"/>
        <v>1.5707963267948966</v>
      </c>
      <c r="H54" s="7">
        <f t="shared" si="4"/>
        <v>-1.5707963267948966</v>
      </c>
      <c r="I54" s="7">
        <f t="shared" si="5"/>
        <v>0</v>
      </c>
    </row>
    <row r="55" spans="3:9" x14ac:dyDescent="0.25">
      <c r="C55" s="2">
        <v>600000</v>
      </c>
      <c r="D55" s="3">
        <f t="shared" si="0"/>
        <v>1.5706296601297731</v>
      </c>
      <c r="E55" s="3">
        <f t="shared" si="1"/>
        <v>-1.5691296616714372</v>
      </c>
      <c r="F55" s="3">
        <f t="shared" si="2"/>
        <v>1.4999984583359272E-3</v>
      </c>
      <c r="G55" s="7">
        <f t="shared" si="3"/>
        <v>1.5707963267948966</v>
      </c>
      <c r="H55" s="7">
        <f t="shared" si="4"/>
        <v>-1.5707963267948966</v>
      </c>
      <c r="I55" s="7">
        <f t="shared" si="5"/>
        <v>0</v>
      </c>
    </row>
    <row r="56" spans="3:9" x14ac:dyDescent="0.25">
      <c r="C56" s="2">
        <v>700000</v>
      </c>
      <c r="D56" s="3">
        <f t="shared" si="0"/>
        <v>1.5706534696530112</v>
      </c>
      <c r="E56" s="3">
        <f t="shared" si="1"/>
        <v>-1.5693677563381414</v>
      </c>
      <c r="F56" s="3">
        <f t="shared" si="2"/>
        <v>1.2857133148698185E-3</v>
      </c>
      <c r="G56" s="7">
        <f t="shared" si="3"/>
        <v>1.5707963267948966</v>
      </c>
      <c r="H56" s="7">
        <f t="shared" si="4"/>
        <v>-1.5707963267948966</v>
      </c>
      <c r="I56" s="7">
        <f t="shared" si="5"/>
        <v>0</v>
      </c>
    </row>
    <row r="57" spans="3:9" x14ac:dyDescent="0.25">
      <c r="C57" s="2">
        <v>800000</v>
      </c>
      <c r="D57" s="3">
        <f t="shared" si="0"/>
        <v>1.5706713267955477</v>
      </c>
      <c r="E57" s="3">
        <f t="shared" si="1"/>
        <v>-1.5695463274459376</v>
      </c>
      <c r="F57" s="3">
        <f t="shared" si="2"/>
        <v>1.1249993496100785E-3</v>
      </c>
      <c r="G57" s="7">
        <f t="shared" si="3"/>
        <v>1.5707963267948966</v>
      </c>
      <c r="H57" s="7">
        <f t="shared" si="4"/>
        <v>-1.5707963267948966</v>
      </c>
      <c r="I57" s="7">
        <f t="shared" si="5"/>
        <v>0</v>
      </c>
    </row>
    <row r="58" spans="3:9" x14ac:dyDescent="0.25">
      <c r="C58" s="2">
        <v>900000</v>
      </c>
      <c r="D58" s="3">
        <f t="shared" si="0"/>
        <v>1.5706852156842428</v>
      </c>
      <c r="E58" s="3">
        <f t="shared" si="1"/>
        <v>-1.5696852161410326</v>
      </c>
      <c r="F58" s="3">
        <f t="shared" si="2"/>
        <v>9.999995432101727E-4</v>
      </c>
      <c r="G58" s="7">
        <f t="shared" si="3"/>
        <v>1.5707963267948966</v>
      </c>
      <c r="H58" s="7">
        <f t="shared" si="4"/>
        <v>-1.5707963267948966</v>
      </c>
      <c r="I58" s="7">
        <f t="shared" si="5"/>
        <v>0</v>
      </c>
    </row>
    <row r="59" spans="3:9" x14ac:dyDescent="0.25">
      <c r="C59" s="2">
        <v>1000000</v>
      </c>
      <c r="D59" s="3">
        <f t="shared" si="0"/>
        <v>1.5706963267952299</v>
      </c>
      <c r="E59" s="3">
        <f t="shared" si="1"/>
        <v>-1.5697963271282298</v>
      </c>
      <c r="F59" s="3">
        <f t="shared" si="2"/>
        <v>8.9999966700005096E-4</v>
      </c>
      <c r="G59" s="7">
        <f t="shared" si="3"/>
        <v>1.5707963267948966</v>
      </c>
      <c r="H59" s="7">
        <f t="shared" si="4"/>
        <v>-1.5707963267948966</v>
      </c>
      <c r="I59" s="7">
        <f t="shared" si="5"/>
        <v>0</v>
      </c>
    </row>
    <row r="60" spans="3:9" x14ac:dyDescent="0.25">
      <c r="C60" s="2" cm="1">
        <f t="array" ref="C60:C67">C51:C58*10</f>
        <v>2000000</v>
      </c>
      <c r="D60" s="3">
        <f t="shared" si="0"/>
        <v>1.5707463267949382</v>
      </c>
      <c r="E60" s="3">
        <f t="shared" si="1"/>
        <v>-1.5702963268365633</v>
      </c>
      <c r="F60" s="3">
        <f t="shared" si="2"/>
        <v>4.4999995837491369E-4</v>
      </c>
      <c r="G60" s="7">
        <f t="shared" si="3"/>
        <v>1.5707963267948966</v>
      </c>
      <c r="H60" s="7">
        <f t="shared" si="4"/>
        <v>-1.5707963267948966</v>
      </c>
      <c r="I60" s="7">
        <f t="shared" si="5"/>
        <v>0</v>
      </c>
    </row>
    <row r="61" spans="3:9" x14ac:dyDescent="0.25">
      <c r="C61" s="2">
        <v>3000000</v>
      </c>
      <c r="D61" s="3">
        <f t="shared" si="0"/>
        <v>1.5707629934615757</v>
      </c>
      <c r="E61" s="3">
        <f t="shared" si="1"/>
        <v>-1.5704629934739089</v>
      </c>
      <c r="F61" s="3">
        <f t="shared" si="2"/>
        <v>2.9999998766672142E-4</v>
      </c>
      <c r="G61" s="7">
        <f t="shared" si="3"/>
        <v>1.5707963267948966</v>
      </c>
      <c r="H61" s="7">
        <f t="shared" si="4"/>
        <v>-1.5707963267948966</v>
      </c>
      <c r="I61" s="7">
        <f t="shared" si="5"/>
        <v>0</v>
      </c>
    </row>
    <row r="62" spans="3:9" x14ac:dyDescent="0.25">
      <c r="C62" s="2">
        <v>4000000</v>
      </c>
      <c r="D62" s="3">
        <f t="shared" si="0"/>
        <v>1.5707713267949017</v>
      </c>
      <c r="E62" s="3">
        <f t="shared" si="1"/>
        <v>-1.570546326800105</v>
      </c>
      <c r="F62" s="3">
        <f t="shared" si="2"/>
        <v>2.2499999479674848E-4</v>
      </c>
      <c r="G62" s="7">
        <f t="shared" si="3"/>
        <v>1.5707963267948966</v>
      </c>
      <c r="H62" s="7">
        <f t="shared" si="4"/>
        <v>-1.5707963267948966</v>
      </c>
      <c r="I62" s="7">
        <f t="shared" si="5"/>
        <v>0</v>
      </c>
    </row>
    <row r="63" spans="3:9" x14ac:dyDescent="0.25">
      <c r="C63" s="2">
        <v>5000000</v>
      </c>
      <c r="D63" s="3">
        <f t="shared" si="0"/>
        <v>1.5707763267948993</v>
      </c>
      <c r="E63" s="3">
        <f t="shared" si="1"/>
        <v>-1.5705963267975633</v>
      </c>
      <c r="F63" s="3">
        <f t="shared" si="2"/>
        <v>1.7999999733597782E-4</v>
      </c>
      <c r="G63" s="7">
        <f t="shared" si="3"/>
        <v>1.5707963267948966</v>
      </c>
      <c r="H63" s="7">
        <f t="shared" si="4"/>
        <v>-1.5707963267948966</v>
      </c>
      <c r="I63" s="7">
        <f t="shared" si="5"/>
        <v>0</v>
      </c>
    </row>
    <row r="64" spans="3:9" x14ac:dyDescent="0.25">
      <c r="C64" s="2">
        <v>6000000</v>
      </c>
      <c r="D64" s="3">
        <f t="shared" si="0"/>
        <v>1.5707796601282316</v>
      </c>
      <c r="E64" s="3">
        <f t="shared" si="1"/>
        <v>-1.5706296601297731</v>
      </c>
      <c r="F64" s="3">
        <f t="shared" si="2"/>
        <v>1.4999999845843881E-4</v>
      </c>
      <c r="G64" s="7">
        <f t="shared" si="3"/>
        <v>1.5707963267948966</v>
      </c>
      <c r="H64" s="7">
        <f t="shared" si="4"/>
        <v>-1.5707963267948966</v>
      </c>
      <c r="I64" s="7">
        <f t="shared" si="5"/>
        <v>0</v>
      </c>
    </row>
    <row r="65" spans="3:9" x14ac:dyDescent="0.25">
      <c r="C65" s="2">
        <v>7000000</v>
      </c>
      <c r="D65" s="3">
        <f t="shared" si="0"/>
        <v>1.5707820410806119</v>
      </c>
      <c r="E65" s="3">
        <f t="shared" si="1"/>
        <v>-1.5706534696530112</v>
      </c>
      <c r="F65" s="3">
        <f t="shared" si="2"/>
        <v>1.2857142760069884E-4</v>
      </c>
      <c r="G65" s="7">
        <f t="shared" si="3"/>
        <v>1.5707963267948966</v>
      </c>
      <c r="H65" s="7">
        <f t="shared" si="4"/>
        <v>-1.5707963267948966</v>
      </c>
      <c r="I65" s="7">
        <f t="shared" si="5"/>
        <v>0</v>
      </c>
    </row>
    <row r="66" spans="3:9" x14ac:dyDescent="0.25">
      <c r="C66" s="2">
        <v>8000000</v>
      </c>
      <c r="D66" s="3">
        <f t="shared" si="0"/>
        <v>1.5707838267948973</v>
      </c>
      <c r="E66" s="3">
        <f t="shared" si="1"/>
        <v>-1.5706713267955477</v>
      </c>
      <c r="F66" s="3">
        <f t="shared" si="2"/>
        <v>1.1249999934959121E-4</v>
      </c>
      <c r="G66" s="7">
        <f t="shared" si="3"/>
        <v>1.5707963267948966</v>
      </c>
      <c r="H66" s="7">
        <f t="shared" si="4"/>
        <v>-1.5707963267948966</v>
      </c>
      <c r="I66" s="7">
        <f t="shared" si="5"/>
        <v>0</v>
      </c>
    </row>
    <row r="67" spans="3:9" x14ac:dyDescent="0.25">
      <c r="C67" s="2">
        <v>9000000</v>
      </c>
      <c r="D67" s="3">
        <f t="shared" si="0"/>
        <v>1.570785215683786</v>
      </c>
      <c r="E67" s="3">
        <f t="shared" si="1"/>
        <v>-1.5706852156842428</v>
      </c>
      <c r="F67" s="3">
        <f t="shared" si="2"/>
        <v>9.9999999543243234E-5</v>
      </c>
      <c r="G67" s="7">
        <f t="shared" si="3"/>
        <v>1.5707963267948966</v>
      </c>
      <c r="H67" s="7">
        <f>IF(C67&lt;1000,0,-PI()/2)</f>
        <v>-1.5707963267948966</v>
      </c>
      <c r="I67" s="7">
        <f t="shared" si="5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2888-5A2F-4068-8295-09FF48FB989E}">
  <dimension ref="B1:J1502"/>
  <sheetViews>
    <sheetView zoomScale="85" zoomScaleNormal="85" workbookViewId="0">
      <selection activeCell="E195" sqref="E195"/>
    </sheetView>
  </sheetViews>
  <sheetFormatPr baseColWidth="10" defaultRowHeight="15" x14ac:dyDescent="0.25"/>
  <cols>
    <col min="6" max="6" width="23.7109375" customWidth="1"/>
    <col min="7" max="7" width="30.5703125" customWidth="1"/>
    <col min="8" max="8" width="18.28515625" customWidth="1"/>
  </cols>
  <sheetData>
    <row r="1" spans="2:10" x14ac:dyDescent="0.25">
      <c r="B1" s="12"/>
      <c r="C1" s="12"/>
      <c r="D1" s="12"/>
      <c r="E1" s="12"/>
      <c r="F1" s="12"/>
      <c r="G1" s="12"/>
      <c r="H1" s="12"/>
      <c r="I1" s="12"/>
      <c r="J1" s="12"/>
    </row>
    <row r="2" spans="2:10" x14ac:dyDescent="0.25">
      <c r="B2" s="12"/>
      <c r="C2" s="12"/>
      <c r="D2" s="12"/>
      <c r="E2" s="12"/>
      <c r="F2" s="12"/>
      <c r="G2" s="12"/>
      <c r="H2" s="12"/>
      <c r="I2" s="12"/>
      <c r="J2" s="12"/>
    </row>
    <row r="3" spans="2:10" x14ac:dyDescent="0.25">
      <c r="B3" s="12"/>
      <c r="C3" s="14" t="s">
        <v>17</v>
      </c>
      <c r="D3" s="2">
        <v>1</v>
      </c>
      <c r="E3" s="12"/>
      <c r="F3" s="17" t="s">
        <v>16</v>
      </c>
      <c r="G3" s="18" t="s">
        <v>21</v>
      </c>
      <c r="H3" s="13" t="s">
        <v>22</v>
      </c>
      <c r="I3" s="12"/>
      <c r="J3" s="12"/>
    </row>
    <row r="4" spans="2:10" x14ac:dyDescent="0.25">
      <c r="B4" s="12"/>
      <c r="C4" s="15" t="s">
        <v>18</v>
      </c>
      <c r="D4" s="2">
        <v>2</v>
      </c>
      <c r="E4" s="12"/>
      <c r="F4" s="2">
        <v>0</v>
      </c>
      <c r="G4" s="2">
        <f>D5</f>
        <v>0</v>
      </c>
      <c r="H4" s="2">
        <f>IF(F4&lt;=2,$D$7*EXP($D$3*F4)-($D$4/$D$3),"")</f>
        <v>0</v>
      </c>
    </row>
    <row r="5" spans="2:10" x14ac:dyDescent="0.25">
      <c r="B5" s="12"/>
      <c r="C5" s="19" t="s">
        <v>19</v>
      </c>
      <c r="D5" s="2">
        <v>0</v>
      </c>
      <c r="E5" s="12"/>
      <c r="F5" s="2">
        <f>IF(F4&lt;2,F4+$D$6,NA())</f>
        <v>0.01</v>
      </c>
      <c r="G5" s="2">
        <f>IF(ISNA(F5), NA(),(1+$D$3*$D$6)*G4+$D$6*$D$4)</f>
        <v>0.02</v>
      </c>
      <c r="H5" s="2">
        <f>IF(ISNA(G5),NA(),$D$7*EXP($D$3*F5)-($D$4/$D$3))</f>
        <v>2.0100334168335898E-2</v>
      </c>
    </row>
    <row r="6" spans="2:10" x14ac:dyDescent="0.25">
      <c r="B6" s="12"/>
      <c r="C6" s="16" t="s">
        <v>20</v>
      </c>
      <c r="D6" s="2">
        <v>0.01</v>
      </c>
      <c r="E6" s="12"/>
      <c r="F6" s="2">
        <f t="shared" ref="F6:F69" si="0">IF(F5&lt;2,F5+$D$6,NA())</f>
        <v>0.02</v>
      </c>
      <c r="G6" s="2">
        <f t="shared" ref="G6:G69" si="1">IF(ISNA(F6), NA(),(1+$D$3*$D$6)*G5+$D$6*$D$4)</f>
        <v>4.02E-2</v>
      </c>
      <c r="H6" s="2">
        <f t="shared" ref="H6:H69" si="2">IF(ISNA(G6),NA(),$D$7*EXP($D$3*F6)-($D$4/$D$3))</f>
        <v>4.0402680053511553E-2</v>
      </c>
    </row>
    <row r="7" spans="2:10" x14ac:dyDescent="0.25">
      <c r="B7" s="12"/>
      <c r="C7" s="12" t="s">
        <v>23</v>
      </c>
      <c r="D7" s="12">
        <f>D5+(D4/D3)</f>
        <v>2</v>
      </c>
      <c r="E7" s="12"/>
      <c r="F7" s="2">
        <f t="shared" si="0"/>
        <v>0.03</v>
      </c>
      <c r="G7" s="2">
        <f t="shared" si="1"/>
        <v>6.0602000000000003E-2</v>
      </c>
      <c r="H7" s="2">
        <f t="shared" si="2"/>
        <v>6.0909067907033876E-2</v>
      </c>
    </row>
    <row r="8" spans="2:10" x14ac:dyDescent="0.25">
      <c r="B8" s="12"/>
      <c r="C8" s="12"/>
      <c r="D8" s="12"/>
      <c r="E8" s="12"/>
      <c r="F8" s="2">
        <f t="shared" si="0"/>
        <v>0.04</v>
      </c>
      <c r="G8" s="2">
        <f t="shared" si="1"/>
        <v>8.1208020000000006E-2</v>
      </c>
      <c r="H8" s="2">
        <f t="shared" si="2"/>
        <v>8.1621548384776421E-2</v>
      </c>
    </row>
    <row r="9" spans="2:10" x14ac:dyDescent="0.25">
      <c r="B9" s="12"/>
      <c r="C9" s="12"/>
      <c r="D9" s="12"/>
      <c r="E9" s="12"/>
      <c r="F9" s="2">
        <f t="shared" si="0"/>
        <v>0.05</v>
      </c>
      <c r="G9" s="2">
        <f t="shared" si="1"/>
        <v>0.10202010020000001</v>
      </c>
      <c r="H9" s="2">
        <f t="shared" si="2"/>
        <v>0.10254219275204823</v>
      </c>
    </row>
    <row r="10" spans="2:10" x14ac:dyDescent="0.25">
      <c r="B10" s="12"/>
      <c r="C10" s="12"/>
      <c r="D10" s="12"/>
      <c r="E10" s="12"/>
      <c r="F10" s="2">
        <f t="shared" si="0"/>
        <v>6.0000000000000005E-2</v>
      </c>
      <c r="G10" s="2">
        <f t="shared" si="1"/>
        <v>0.123040301202</v>
      </c>
      <c r="H10" s="2">
        <f t="shared" si="2"/>
        <v>0.12367309309071928</v>
      </c>
    </row>
    <row r="11" spans="2:10" x14ac:dyDescent="0.25">
      <c r="F11" s="2">
        <f t="shared" si="0"/>
        <v>7.0000000000000007E-2</v>
      </c>
      <c r="G11" s="2">
        <f t="shared" si="1"/>
        <v>0.14427070421402</v>
      </c>
      <c r="H11" s="2">
        <f t="shared" si="2"/>
        <v>0.14501636250843308</v>
      </c>
    </row>
    <row r="12" spans="2:10" x14ac:dyDescent="0.25">
      <c r="F12" s="2">
        <f t="shared" si="0"/>
        <v>0.08</v>
      </c>
      <c r="G12" s="2">
        <f t="shared" si="1"/>
        <v>0.16571341125616018</v>
      </c>
      <c r="H12" s="2">
        <f t="shared" si="2"/>
        <v>0.16657413534991727</v>
      </c>
    </row>
    <row r="13" spans="2:10" x14ac:dyDescent="0.25">
      <c r="F13" s="2">
        <f t="shared" si="0"/>
        <v>0.09</v>
      </c>
      <c r="G13" s="2">
        <f t="shared" si="1"/>
        <v>0.18737054536872177</v>
      </c>
      <c r="H13" s="2">
        <f t="shared" si="2"/>
        <v>0.18834856741042083</v>
      </c>
    </row>
    <row r="14" spans="2:10" x14ac:dyDescent="0.25">
      <c r="F14" s="2">
        <f t="shared" si="0"/>
        <v>9.9999999999999992E-2</v>
      </c>
      <c r="G14" s="2">
        <f t="shared" si="1"/>
        <v>0.20924425082240899</v>
      </c>
      <c r="H14" s="2">
        <f t="shared" si="2"/>
        <v>0.21034183615129542</v>
      </c>
    </row>
    <row r="15" spans="2:10" x14ac:dyDescent="0.25">
      <c r="F15" s="2">
        <f t="shared" si="0"/>
        <v>0.10999999999999999</v>
      </c>
      <c r="G15" s="2">
        <f t="shared" si="1"/>
        <v>0.23133669333063309</v>
      </c>
      <c r="H15" s="2">
        <f t="shared" si="2"/>
        <v>0.23255614091774257</v>
      </c>
    </row>
    <row r="16" spans="2:10" x14ac:dyDescent="0.25">
      <c r="F16" s="2">
        <f t="shared" si="0"/>
        <v>0.11999999999999998</v>
      </c>
      <c r="G16" s="2">
        <f t="shared" si="1"/>
        <v>0.25365006026393944</v>
      </c>
      <c r="H16" s="2">
        <f t="shared" si="2"/>
        <v>0.25499370315875147</v>
      </c>
    </row>
    <row r="17" spans="6:8" x14ac:dyDescent="0.25">
      <c r="F17" s="2">
        <f t="shared" si="0"/>
        <v>0.12999999999999998</v>
      </c>
      <c r="G17" s="2">
        <f t="shared" si="1"/>
        <v>0.27618656086657883</v>
      </c>
      <c r="H17" s="2">
        <f t="shared" si="2"/>
        <v>0.27765676664924355</v>
      </c>
    </row>
    <row r="18" spans="6:8" x14ac:dyDescent="0.25">
      <c r="F18" s="2">
        <f t="shared" si="0"/>
        <v>0.13999999999999999</v>
      </c>
      <c r="G18" s="2">
        <f t="shared" si="1"/>
        <v>0.29894842647524467</v>
      </c>
      <c r="H18" s="2">
        <f t="shared" si="2"/>
        <v>0.30054759771445472</v>
      </c>
    </row>
    <row r="19" spans="6:8" x14ac:dyDescent="0.25">
      <c r="F19" s="2">
        <f t="shared" si="0"/>
        <v>0.15</v>
      </c>
      <c r="G19" s="2">
        <f t="shared" si="1"/>
        <v>0.32193791073999711</v>
      </c>
      <c r="H19" s="2">
        <f t="shared" si="2"/>
        <v>0.32366848545656612</v>
      </c>
    </row>
    <row r="20" spans="6:8" x14ac:dyDescent="0.25">
      <c r="F20" s="2">
        <f t="shared" si="0"/>
        <v>0.16</v>
      </c>
      <c r="G20" s="2">
        <f t="shared" si="1"/>
        <v>0.34515728984739713</v>
      </c>
      <c r="H20" s="2">
        <f t="shared" si="2"/>
        <v>0.34702174198362057</v>
      </c>
    </row>
    <row r="21" spans="6:8" x14ac:dyDescent="0.25">
      <c r="F21" s="2">
        <f t="shared" si="0"/>
        <v>0.17</v>
      </c>
      <c r="G21" s="2">
        <f t="shared" si="1"/>
        <v>0.36860886274587112</v>
      </c>
      <c r="H21" s="2">
        <f t="shared" si="2"/>
        <v>0.3706097026407309</v>
      </c>
    </row>
    <row r="22" spans="6:8" x14ac:dyDescent="0.25">
      <c r="F22" s="2">
        <f t="shared" si="0"/>
        <v>0.18000000000000002</v>
      </c>
      <c r="G22" s="2">
        <f t="shared" si="1"/>
        <v>0.39229495137332987</v>
      </c>
      <c r="H22" s="2">
        <f t="shared" si="2"/>
        <v>0.3944347262436203</v>
      </c>
    </row>
    <row r="23" spans="6:8" x14ac:dyDescent="0.25">
      <c r="F23" s="2">
        <f t="shared" si="0"/>
        <v>0.19000000000000003</v>
      </c>
      <c r="G23" s="2">
        <f t="shared" si="1"/>
        <v>0.41621790088706317</v>
      </c>
      <c r="H23" s="2">
        <f t="shared" si="2"/>
        <v>0.41849919531450297</v>
      </c>
    </row>
    <row r="24" spans="6:8" x14ac:dyDescent="0.25">
      <c r="F24" s="2">
        <f t="shared" si="0"/>
        <v>0.20000000000000004</v>
      </c>
      <c r="G24" s="2">
        <f t="shared" si="1"/>
        <v>0.44038007989593381</v>
      </c>
      <c r="H24" s="2">
        <f t="shared" si="2"/>
        <v>0.44280551632033971</v>
      </c>
    </row>
    <row r="25" spans="6:8" x14ac:dyDescent="0.25">
      <c r="F25" s="2">
        <f t="shared" si="0"/>
        <v>0.21000000000000005</v>
      </c>
      <c r="G25" s="2">
        <f t="shared" si="1"/>
        <v>0.46478388069489318</v>
      </c>
      <c r="H25" s="2">
        <f t="shared" si="2"/>
        <v>0.4673561199134868</v>
      </c>
    </row>
    <row r="26" spans="6:8" x14ac:dyDescent="0.25">
      <c r="F26" s="2">
        <f t="shared" si="0"/>
        <v>0.22000000000000006</v>
      </c>
      <c r="G26" s="2">
        <f t="shared" si="1"/>
        <v>0.48943171950184211</v>
      </c>
      <c r="H26" s="2">
        <f t="shared" si="2"/>
        <v>0.492153461174762</v>
      </c>
    </row>
    <row r="27" spans="6:8" x14ac:dyDescent="0.25">
      <c r="F27" s="2">
        <f t="shared" si="0"/>
        <v>0.23000000000000007</v>
      </c>
      <c r="G27" s="2">
        <f t="shared" si="1"/>
        <v>0.5143260366968605</v>
      </c>
      <c r="H27" s="2">
        <f t="shared" si="2"/>
        <v>0.5172000198589557</v>
      </c>
    </row>
    <row r="28" spans="6:8" x14ac:dyDescent="0.25">
      <c r="F28" s="2">
        <f t="shared" si="0"/>
        <v>0.24000000000000007</v>
      </c>
      <c r="G28" s="2">
        <f t="shared" si="1"/>
        <v>0.53946929706382918</v>
      </c>
      <c r="H28" s="2">
        <f t="shared" si="2"/>
        <v>0.54249830064280946</v>
      </c>
    </row>
    <row r="29" spans="6:8" x14ac:dyDescent="0.25">
      <c r="F29" s="2">
        <f t="shared" si="0"/>
        <v>0.25000000000000006</v>
      </c>
      <c r="G29" s="2">
        <f t="shared" si="1"/>
        <v>0.56486399003446752</v>
      </c>
      <c r="H29" s="2">
        <f t="shared" si="2"/>
        <v>0.56805083337548323</v>
      </c>
    </row>
    <row r="30" spans="6:8" x14ac:dyDescent="0.25">
      <c r="F30" s="2">
        <f t="shared" si="0"/>
        <v>0.26000000000000006</v>
      </c>
      <c r="G30" s="2">
        <f t="shared" si="1"/>
        <v>0.59051262993481224</v>
      </c>
      <c r="H30" s="2">
        <f t="shared" si="2"/>
        <v>0.59386017333154362</v>
      </c>
    </row>
    <row r="31" spans="6:8" x14ac:dyDescent="0.25">
      <c r="F31" s="2">
        <f t="shared" si="0"/>
        <v>0.27000000000000007</v>
      </c>
      <c r="G31" s="2">
        <f t="shared" si="1"/>
        <v>0.6164177562341604</v>
      </c>
      <c r="H31" s="2">
        <f t="shared" si="2"/>
        <v>0.61992890146649504</v>
      </c>
    </row>
    <row r="32" spans="6:8" x14ac:dyDescent="0.25">
      <c r="F32" s="2">
        <f t="shared" si="0"/>
        <v>0.28000000000000008</v>
      </c>
      <c r="G32" s="2">
        <f t="shared" si="1"/>
        <v>0.64258193379650197</v>
      </c>
      <c r="H32" s="2">
        <f t="shared" si="2"/>
        <v>0.64625962467487419</v>
      </c>
    </row>
    <row r="33" spans="6:8" x14ac:dyDescent="0.25">
      <c r="F33" s="2">
        <f t="shared" si="0"/>
        <v>0.29000000000000009</v>
      </c>
      <c r="G33" s="2">
        <f t="shared" si="1"/>
        <v>0.66900775313446703</v>
      </c>
      <c r="H33" s="2">
        <f t="shared" si="2"/>
        <v>0.67285497605094458</v>
      </c>
    </row>
    <row r="34" spans="6:8" x14ac:dyDescent="0.25">
      <c r="F34" s="2">
        <f t="shared" si="0"/>
        <v>0.3000000000000001</v>
      </c>
      <c r="G34" s="2">
        <f t="shared" si="1"/>
        <v>0.6956978306658117</v>
      </c>
      <c r="H34" s="2">
        <f t="shared" si="2"/>
        <v>0.69971761515200637</v>
      </c>
    </row>
    <row r="35" spans="6:8" x14ac:dyDescent="0.25">
      <c r="F35" s="2">
        <f t="shared" si="0"/>
        <v>0.31000000000000011</v>
      </c>
      <c r="G35" s="2">
        <f t="shared" si="1"/>
        <v>0.72265480897246981</v>
      </c>
      <c r="H35" s="2">
        <f t="shared" si="2"/>
        <v>0.72685022826435608</v>
      </c>
    </row>
    <row r="36" spans="6:8" x14ac:dyDescent="0.25">
      <c r="F36" s="2">
        <f t="shared" si="0"/>
        <v>0.32000000000000012</v>
      </c>
      <c r="G36" s="2">
        <f t="shared" si="1"/>
        <v>0.7498813570621945</v>
      </c>
      <c r="H36" s="2">
        <f t="shared" si="2"/>
        <v>0.75425552867191437</v>
      </c>
    </row>
    <row r="37" spans="6:8" x14ac:dyDescent="0.25">
      <c r="F37" s="2">
        <f t="shared" si="0"/>
        <v>0.33000000000000013</v>
      </c>
      <c r="G37" s="2">
        <f t="shared" si="1"/>
        <v>0.7773801706328165</v>
      </c>
      <c r="H37" s="2">
        <f t="shared" si="2"/>
        <v>0.78193625692756097</v>
      </c>
    </row>
    <row r="38" spans="6:8" x14ac:dyDescent="0.25">
      <c r="F38" s="2">
        <f t="shared" si="0"/>
        <v>0.34000000000000014</v>
      </c>
      <c r="G38" s="2">
        <f t="shared" si="1"/>
        <v>0.80515397233914465</v>
      </c>
      <c r="H38" s="2">
        <f t="shared" si="2"/>
        <v>0.80989518112718795</v>
      </c>
    </row>
    <row r="39" spans="6:8" x14ac:dyDescent="0.25">
      <c r="F39" s="2">
        <f t="shared" si="0"/>
        <v>0.35000000000000014</v>
      </c>
      <c r="G39" s="2">
        <f t="shared" si="1"/>
        <v>0.83320551206253612</v>
      </c>
      <c r="H39" s="2">
        <f t="shared" si="2"/>
        <v>0.83813509718651469</v>
      </c>
    </row>
    <row r="40" spans="6:8" x14ac:dyDescent="0.25">
      <c r="F40" s="2">
        <f t="shared" si="0"/>
        <v>0.36000000000000015</v>
      </c>
      <c r="G40" s="2">
        <f t="shared" si="1"/>
        <v>0.86153756718316155</v>
      </c>
      <c r="H40" s="2">
        <f t="shared" si="2"/>
        <v>0.86665882912068115</v>
      </c>
    </row>
    <row r="41" spans="6:8" x14ac:dyDescent="0.25">
      <c r="F41" s="2">
        <f t="shared" si="0"/>
        <v>0.37000000000000016</v>
      </c>
      <c r="G41" s="2">
        <f t="shared" si="1"/>
        <v>0.89015294285499313</v>
      </c>
      <c r="H41" s="2">
        <f t="shared" si="2"/>
        <v>0.89546922932664952</v>
      </c>
    </row>
    <row r="42" spans="6:8" x14ac:dyDescent="0.25">
      <c r="F42" s="2">
        <f t="shared" si="0"/>
        <v>0.38000000000000017</v>
      </c>
      <c r="G42" s="2">
        <f t="shared" si="1"/>
        <v>0.91905447228354309</v>
      </c>
      <c r="H42" s="2">
        <f t="shared" si="2"/>
        <v>0.92456917886844936</v>
      </c>
    </row>
    <row r="43" spans="6:8" x14ac:dyDescent="0.25">
      <c r="F43" s="2">
        <f t="shared" si="0"/>
        <v>0.39000000000000018</v>
      </c>
      <c r="G43" s="2">
        <f t="shared" si="1"/>
        <v>0.94824501700637853</v>
      </c>
      <c r="H43" s="2">
        <f t="shared" si="2"/>
        <v>0.95396158776528583</v>
      </c>
    </row>
    <row r="44" spans="6:8" x14ac:dyDescent="0.25">
      <c r="F44" s="2">
        <f t="shared" si="0"/>
        <v>0.40000000000000019</v>
      </c>
      <c r="G44" s="2">
        <f t="shared" si="1"/>
        <v>0.97772746717644232</v>
      </c>
      <c r="H44" s="2">
        <f t="shared" si="2"/>
        <v>0.98364939528254114</v>
      </c>
    </row>
    <row r="45" spans="6:8" x14ac:dyDescent="0.25">
      <c r="F45" s="2">
        <f t="shared" si="0"/>
        <v>0.4100000000000002</v>
      </c>
      <c r="G45" s="2">
        <f t="shared" si="1"/>
        <v>1.0075047418482068</v>
      </c>
      <c r="H45" s="2">
        <f t="shared" si="2"/>
        <v>1.0136355702257078</v>
      </c>
    </row>
    <row r="46" spans="6:8" x14ac:dyDescent="0.25">
      <c r="F46" s="2">
        <f t="shared" si="0"/>
        <v>0.42000000000000021</v>
      </c>
      <c r="G46" s="2">
        <f t="shared" si="1"/>
        <v>1.0375797892666889</v>
      </c>
      <c r="H46" s="2">
        <f t="shared" si="2"/>
        <v>1.0439231112372682</v>
      </c>
    </row>
    <row r="47" spans="6:8" x14ac:dyDescent="0.25">
      <c r="F47" s="2">
        <f t="shared" si="0"/>
        <v>0.43000000000000022</v>
      </c>
      <c r="G47" s="2">
        <f t="shared" si="1"/>
        <v>1.0679555871593558</v>
      </c>
      <c r="H47" s="2">
        <f t="shared" si="2"/>
        <v>1.0745150470965634</v>
      </c>
    </row>
    <row r="48" spans="6:8" x14ac:dyDescent="0.25">
      <c r="F48" s="2">
        <f t="shared" si="0"/>
        <v>0.44000000000000022</v>
      </c>
      <c r="G48" s="2">
        <f t="shared" si="1"/>
        <v>1.0986351430309493</v>
      </c>
      <c r="H48" s="2">
        <f t="shared" si="2"/>
        <v>1.1054144370226728</v>
      </c>
    </row>
    <row r="49" spans="6:8" x14ac:dyDescent="0.25">
      <c r="F49" s="2">
        <f t="shared" si="0"/>
        <v>0.45000000000000023</v>
      </c>
      <c r="G49" s="2">
        <f t="shared" si="1"/>
        <v>1.1296214944612588</v>
      </c>
      <c r="H49" s="2">
        <f t="shared" si="2"/>
        <v>1.1366243709803383</v>
      </c>
    </row>
    <row r="50" spans="6:8" x14ac:dyDescent="0.25">
      <c r="F50" s="2">
        <f t="shared" si="0"/>
        <v>0.46000000000000024</v>
      </c>
      <c r="G50" s="2">
        <f t="shared" si="1"/>
        <v>1.1609177094058714</v>
      </c>
      <c r="H50" s="2">
        <f t="shared" si="2"/>
        <v>1.1681479699889645</v>
      </c>
    </row>
    <row r="51" spans="6:8" x14ac:dyDescent="0.25">
      <c r="F51" s="2">
        <f t="shared" si="0"/>
        <v>0.47000000000000025</v>
      </c>
      <c r="G51" s="2">
        <f t="shared" si="1"/>
        <v>1.1925268864999301</v>
      </c>
      <c r="H51" s="2">
        <f t="shared" si="2"/>
        <v>1.1999883864347214</v>
      </c>
    </row>
    <row r="52" spans="6:8" x14ac:dyDescent="0.25">
      <c r="F52" s="2">
        <f t="shared" si="0"/>
        <v>0.48000000000000026</v>
      </c>
      <c r="G52" s="2">
        <f t="shared" si="1"/>
        <v>1.2244521553649295</v>
      </c>
      <c r="H52" s="2">
        <f t="shared" si="2"/>
        <v>1.2321488043857878</v>
      </c>
    </row>
    <row r="53" spans="6:8" x14ac:dyDescent="0.25">
      <c r="F53" s="2">
        <f t="shared" si="0"/>
        <v>0.49000000000000027</v>
      </c>
      <c r="G53" s="2">
        <f t="shared" si="1"/>
        <v>1.2566966769185788</v>
      </c>
      <c r="H53" s="2">
        <f t="shared" si="2"/>
        <v>1.2646324399107587</v>
      </c>
    </row>
    <row r="54" spans="6:8" x14ac:dyDescent="0.25">
      <c r="F54" s="2">
        <f t="shared" si="0"/>
        <v>0.50000000000000022</v>
      </c>
      <c r="G54" s="2">
        <f t="shared" si="1"/>
        <v>1.2892636436877647</v>
      </c>
      <c r="H54" s="2">
        <f t="shared" si="2"/>
        <v>1.2974425414002568</v>
      </c>
    </row>
    <row r="55" spans="6:8" x14ac:dyDescent="0.25">
      <c r="F55" s="2">
        <f t="shared" si="0"/>
        <v>0.51000000000000023</v>
      </c>
      <c r="G55" s="2">
        <f t="shared" si="1"/>
        <v>1.3221562801246425</v>
      </c>
      <c r="H55" s="2">
        <f t="shared" si="2"/>
        <v>1.3305823898917732</v>
      </c>
    </row>
    <row r="56" spans="6:8" x14ac:dyDescent="0.25">
      <c r="F56" s="2">
        <f t="shared" si="0"/>
        <v>0.52000000000000024</v>
      </c>
      <c r="G56" s="2">
        <f t="shared" si="1"/>
        <v>1.3553778429258889</v>
      </c>
      <c r="H56" s="2">
        <f t="shared" si="2"/>
        <v>1.3640552993977737</v>
      </c>
    </row>
    <row r="57" spans="6:8" x14ac:dyDescent="0.25">
      <c r="F57" s="2">
        <f t="shared" si="0"/>
        <v>0.53000000000000025</v>
      </c>
      <c r="G57" s="2">
        <f t="shared" si="1"/>
        <v>1.3889316213551479</v>
      </c>
      <c r="H57" s="2">
        <f t="shared" si="2"/>
        <v>1.3978646172371021</v>
      </c>
    </row>
    <row r="58" spans="6:8" x14ac:dyDescent="0.25">
      <c r="F58" s="2">
        <f t="shared" si="0"/>
        <v>0.54000000000000026</v>
      </c>
      <c r="G58" s="2">
        <f t="shared" si="1"/>
        <v>1.4228209375686993</v>
      </c>
      <c r="H58" s="2">
        <f t="shared" si="2"/>
        <v>1.432013724369718</v>
      </c>
    </row>
    <row r="59" spans="6:8" x14ac:dyDescent="0.25">
      <c r="F59" s="2">
        <f t="shared" si="0"/>
        <v>0.55000000000000027</v>
      </c>
      <c r="G59" s="2">
        <f t="shared" si="1"/>
        <v>1.4570491469443863</v>
      </c>
      <c r="H59" s="2">
        <f t="shared" si="2"/>
        <v>1.4665060357347914</v>
      </c>
    </row>
    <row r="60" spans="6:8" x14ac:dyDescent="0.25">
      <c r="F60" s="2">
        <f t="shared" si="0"/>
        <v>0.56000000000000028</v>
      </c>
      <c r="G60" s="2">
        <f t="shared" si="1"/>
        <v>1.4916196384138301</v>
      </c>
      <c r="H60" s="2">
        <f t="shared" si="2"/>
        <v>1.5013450005922033</v>
      </c>
    </row>
    <row r="61" spans="6:8" x14ac:dyDescent="0.25">
      <c r="F61" s="2">
        <f t="shared" si="0"/>
        <v>0.57000000000000028</v>
      </c>
      <c r="G61" s="2">
        <f t="shared" si="1"/>
        <v>1.5265358347979683</v>
      </c>
      <c r="H61" s="2">
        <f t="shared" si="2"/>
        <v>1.5365341028674715</v>
      </c>
    </row>
    <row r="62" spans="6:8" x14ac:dyDescent="0.25">
      <c r="F62" s="2">
        <f t="shared" si="0"/>
        <v>0.58000000000000029</v>
      </c>
      <c r="G62" s="2">
        <f t="shared" si="1"/>
        <v>1.5618011931459479</v>
      </c>
      <c r="H62" s="2">
        <f t="shared" si="2"/>
        <v>1.5720768615001477</v>
      </c>
    </row>
    <row r="63" spans="6:8" x14ac:dyDescent="0.25">
      <c r="F63" s="2">
        <f t="shared" si="0"/>
        <v>0.5900000000000003</v>
      </c>
      <c r="G63" s="2">
        <f t="shared" si="1"/>
        <v>1.5974192050774074</v>
      </c>
      <c r="H63" s="2">
        <f t="shared" si="2"/>
        <v>1.6079768307957152</v>
      </c>
    </row>
    <row r="64" spans="6:8" x14ac:dyDescent="0.25">
      <c r="F64" s="2">
        <f t="shared" si="0"/>
        <v>0.60000000000000031</v>
      </c>
      <c r="G64" s="2">
        <f t="shared" si="1"/>
        <v>1.6333933971281815</v>
      </c>
      <c r="H64" s="2">
        <f t="shared" si="2"/>
        <v>1.6442376007810191</v>
      </c>
    </row>
    <row r="65" spans="6:8" x14ac:dyDescent="0.25">
      <c r="F65" s="2">
        <f t="shared" si="0"/>
        <v>0.61000000000000032</v>
      </c>
      <c r="G65" s="2">
        <f t="shared" si="1"/>
        <v>1.6697273310994634</v>
      </c>
      <c r="H65" s="2">
        <f t="shared" si="2"/>
        <v>1.6808627975632762</v>
      </c>
    </row>
    <row r="66" spans="6:8" x14ac:dyDescent="0.25">
      <c r="F66" s="2">
        <f t="shared" si="0"/>
        <v>0.62000000000000033</v>
      </c>
      <c r="G66" s="2">
        <f t="shared" si="1"/>
        <v>1.7064246044104581</v>
      </c>
      <c r="H66" s="2">
        <f t="shared" si="2"/>
        <v>1.7178560836926855</v>
      </c>
    </row>
    <row r="67" spans="6:8" x14ac:dyDescent="0.25">
      <c r="F67" s="2">
        <f t="shared" si="0"/>
        <v>0.63000000000000034</v>
      </c>
      <c r="G67" s="2">
        <f t="shared" si="1"/>
        <v>1.7434888504545627</v>
      </c>
      <c r="H67" s="2">
        <f t="shared" si="2"/>
        <v>1.7552211585286877</v>
      </c>
    </row>
    <row r="68" spans="6:8" x14ac:dyDescent="0.25">
      <c r="F68" s="2">
        <f t="shared" si="0"/>
        <v>0.64000000000000035</v>
      </c>
      <c r="G68" s="2">
        <f t="shared" si="1"/>
        <v>1.7809237389591084</v>
      </c>
      <c r="H68" s="2">
        <f t="shared" si="2"/>
        <v>1.7929617586099038</v>
      </c>
    </row>
    <row r="69" spans="6:8" x14ac:dyDescent="0.25">
      <c r="F69" s="2">
        <f t="shared" si="0"/>
        <v>0.65000000000000036</v>
      </c>
      <c r="G69" s="2">
        <f t="shared" si="1"/>
        <v>1.8187329763486995</v>
      </c>
      <c r="H69" s="2">
        <f t="shared" si="2"/>
        <v>1.8310816580277933</v>
      </c>
    </row>
    <row r="70" spans="6:8" x14ac:dyDescent="0.25">
      <c r="F70" s="2">
        <f t="shared" ref="F70:F133" si="3">IF(F69&lt;2,F69+$D$6,NA())</f>
        <v>0.66000000000000036</v>
      </c>
      <c r="G70" s="2">
        <f t="shared" ref="G70:G133" si="4">IF(ISNA(F70), NA(),(1+$D$3*$D$6)*G69+$D$6*$D$4)</f>
        <v>1.8569203061121864</v>
      </c>
      <c r="H70" s="2">
        <f t="shared" ref="H70:H133" si="5">IF(ISNA(G70),NA(),$D$7*EXP($D$3*F70)-($D$4/$D$3))</f>
        <v>1.8695846688040643</v>
      </c>
    </row>
    <row r="71" spans="6:8" x14ac:dyDescent="0.25">
      <c r="F71" s="2">
        <f t="shared" si="3"/>
        <v>0.67000000000000037</v>
      </c>
      <c r="G71" s="2">
        <f t="shared" si="4"/>
        <v>1.8954895091733084</v>
      </c>
      <c r="H71" s="2">
        <f t="shared" si="5"/>
        <v>1.9084746412718805</v>
      </c>
    </row>
    <row r="72" spans="6:8" x14ac:dyDescent="0.25">
      <c r="F72" s="2">
        <f t="shared" si="3"/>
        <v>0.68000000000000038</v>
      </c>
      <c r="G72" s="2">
        <f t="shared" si="4"/>
        <v>1.9344444042650415</v>
      </c>
      <c r="H72" s="2">
        <f t="shared" si="5"/>
        <v>1.9477554644608968</v>
      </c>
    </row>
    <row r="73" spans="6:8" x14ac:dyDescent="0.25">
      <c r="F73" s="2">
        <f t="shared" si="3"/>
        <v>0.69000000000000039</v>
      </c>
      <c r="G73" s="2">
        <f t="shared" si="4"/>
        <v>1.973788848307692</v>
      </c>
      <c r="H73" s="2">
        <f t="shared" si="5"/>
        <v>1.9874310664861663</v>
      </c>
    </row>
    <row r="74" spans="6:8" x14ac:dyDescent="0.25">
      <c r="F74" s="2">
        <f t="shared" si="3"/>
        <v>0.7000000000000004</v>
      </c>
      <c r="G74" s="2">
        <f t="shared" si="4"/>
        <v>2.013526736790769</v>
      </c>
      <c r="H74" s="2">
        <f t="shared" si="5"/>
        <v>2.027505414940955</v>
      </c>
    </row>
    <row r="75" spans="6:8" x14ac:dyDescent="0.25">
      <c r="F75" s="2">
        <f t="shared" si="3"/>
        <v>0.71000000000000041</v>
      </c>
      <c r="G75" s="2">
        <f t="shared" si="4"/>
        <v>2.0536620041586766</v>
      </c>
      <c r="H75" s="2">
        <f t="shared" si="5"/>
        <v>2.0679825172935029</v>
      </c>
    </row>
    <row r="76" spans="6:8" x14ac:dyDescent="0.25">
      <c r="F76" s="2">
        <f t="shared" si="3"/>
        <v>0.72000000000000042</v>
      </c>
      <c r="G76" s="2">
        <f t="shared" si="4"/>
        <v>2.0941986242002635</v>
      </c>
      <c r="H76" s="2">
        <f t="shared" si="5"/>
        <v>2.108866421287777</v>
      </c>
    </row>
    <row r="77" spans="6:8" x14ac:dyDescent="0.25">
      <c r="F77" s="2">
        <f t="shared" si="3"/>
        <v>0.73000000000000043</v>
      </c>
      <c r="G77" s="2">
        <f t="shared" si="4"/>
        <v>2.1351406104422663</v>
      </c>
      <c r="H77" s="2">
        <f t="shared" si="5"/>
        <v>2.1501612153482474</v>
      </c>
    </row>
    <row r="78" spans="6:8" x14ac:dyDescent="0.25">
      <c r="F78" s="2">
        <f t="shared" si="3"/>
        <v>0.74000000000000044</v>
      </c>
      <c r="G78" s="2">
        <f t="shared" si="4"/>
        <v>2.176492016546689</v>
      </c>
      <c r="H78" s="2">
        <f t="shared" si="5"/>
        <v>2.1918710289887313</v>
      </c>
    </row>
    <row r="79" spans="6:8" x14ac:dyDescent="0.25">
      <c r="F79" s="2">
        <f t="shared" si="3"/>
        <v>0.75000000000000044</v>
      </c>
      <c r="G79" s="2">
        <f t="shared" si="4"/>
        <v>2.2182569367121561</v>
      </c>
      <c r="H79" s="2">
        <f t="shared" si="5"/>
        <v>2.2340000332253513</v>
      </c>
    </row>
    <row r="80" spans="6:8" x14ac:dyDescent="0.25">
      <c r="F80" s="2">
        <f t="shared" si="3"/>
        <v>0.76000000000000045</v>
      </c>
      <c r="G80" s="2">
        <f t="shared" si="4"/>
        <v>2.2604395060792775</v>
      </c>
      <c r="H80" s="2">
        <f t="shared" si="5"/>
        <v>2.2765524409936395</v>
      </c>
    </row>
    <row r="81" spans="6:8" x14ac:dyDescent="0.25">
      <c r="F81" s="2">
        <f t="shared" si="3"/>
        <v>0.77000000000000046</v>
      </c>
      <c r="G81" s="2">
        <f t="shared" si="4"/>
        <v>2.3030439011400703</v>
      </c>
      <c r="H81" s="2">
        <f t="shared" si="5"/>
        <v>2.3195325075698321</v>
      </c>
    </row>
    <row r="82" spans="6:8" x14ac:dyDescent="0.25">
      <c r="F82" s="2">
        <f t="shared" si="3"/>
        <v>0.78000000000000047</v>
      </c>
      <c r="G82" s="2">
        <f t="shared" si="4"/>
        <v>2.3460743401514712</v>
      </c>
      <c r="H82" s="2">
        <f t="shared" si="5"/>
        <v>2.3629445309964039</v>
      </c>
    </row>
    <row r="83" spans="6:8" x14ac:dyDescent="0.25">
      <c r="F83" s="2">
        <f t="shared" si="3"/>
        <v>0.79000000000000048</v>
      </c>
      <c r="G83" s="2">
        <f t="shared" si="4"/>
        <v>2.3895350835529858</v>
      </c>
      <c r="H83" s="2">
        <f t="shared" si="5"/>
        <v>2.4067928525118756</v>
      </c>
    </row>
    <row r="84" spans="6:8" x14ac:dyDescent="0.25">
      <c r="F84" s="2">
        <f t="shared" si="3"/>
        <v>0.80000000000000049</v>
      </c>
      <c r="G84" s="2">
        <f t="shared" si="4"/>
        <v>2.4334304343885158</v>
      </c>
      <c r="H84" s="2">
        <f t="shared" si="5"/>
        <v>2.4510818569849375</v>
      </c>
    </row>
    <row r="85" spans="6:8" x14ac:dyDescent="0.25">
      <c r="F85" s="2">
        <f t="shared" si="3"/>
        <v>0.8100000000000005</v>
      </c>
      <c r="G85" s="2">
        <f t="shared" si="4"/>
        <v>2.4777647387324011</v>
      </c>
      <c r="H85" s="2">
        <f t="shared" si="5"/>
        <v>2.4958159733529452</v>
      </c>
    </row>
    <row r="86" spans="6:8" x14ac:dyDescent="0.25">
      <c r="F86" s="2">
        <f t="shared" si="3"/>
        <v>0.82000000000000051</v>
      </c>
      <c r="G86" s="2">
        <f t="shared" si="4"/>
        <v>2.5225423861197251</v>
      </c>
      <c r="H86" s="2">
        <f t="shared" si="5"/>
        <v>2.5409996750648141</v>
      </c>
    </row>
    <row r="87" spans="6:8" x14ac:dyDescent="0.25">
      <c r="F87" s="2">
        <f t="shared" si="3"/>
        <v>0.83000000000000052</v>
      </c>
      <c r="G87" s="2">
        <f t="shared" si="4"/>
        <v>2.5677678099809222</v>
      </c>
      <c r="H87" s="2">
        <f t="shared" si="5"/>
        <v>2.5866374805283678</v>
      </c>
    </row>
    <row r="88" spans="6:8" x14ac:dyDescent="0.25">
      <c r="F88" s="2">
        <f t="shared" si="3"/>
        <v>0.84000000000000052</v>
      </c>
      <c r="G88" s="2">
        <f t="shared" si="4"/>
        <v>2.6134454880807314</v>
      </c>
      <c r="H88" s="2">
        <f t="shared" si="5"/>
        <v>2.6327339535621856</v>
      </c>
    </row>
    <row r="89" spans="6:8" x14ac:dyDescent="0.25">
      <c r="F89" s="2">
        <f t="shared" si="3"/>
        <v>0.85000000000000053</v>
      </c>
      <c r="G89" s="2">
        <f t="shared" si="4"/>
        <v>2.6595799429615385</v>
      </c>
      <c r="H89" s="2">
        <f t="shared" si="5"/>
        <v>2.6792937038519842</v>
      </c>
    </row>
    <row r="90" spans="6:8" x14ac:dyDescent="0.25">
      <c r="F90" s="2">
        <f t="shared" si="3"/>
        <v>0.86000000000000054</v>
      </c>
      <c r="G90" s="2">
        <f t="shared" si="4"/>
        <v>2.7061757423911539</v>
      </c>
      <c r="H90" s="2">
        <f t="shared" si="5"/>
        <v>2.7263213874115921</v>
      </c>
    </row>
    <row r="91" spans="6:8" x14ac:dyDescent="0.25">
      <c r="F91" s="2">
        <f t="shared" si="3"/>
        <v>0.87000000000000055</v>
      </c>
      <c r="G91" s="2">
        <f t="shared" si="4"/>
        <v>2.7532374998150653</v>
      </c>
      <c r="H91" s="2">
        <f t="shared" si="5"/>
        <v>2.7738217070485556</v>
      </c>
    </row>
    <row r="92" spans="6:8" x14ac:dyDescent="0.25">
      <c r="F92" s="2">
        <f t="shared" si="3"/>
        <v>0.88000000000000056</v>
      </c>
      <c r="G92" s="2">
        <f t="shared" si="4"/>
        <v>2.8007698748132159</v>
      </c>
      <c r="H92" s="2">
        <f t="shared" si="5"/>
        <v>2.8217994128344221</v>
      </c>
    </row>
    <row r="93" spans="6:8" x14ac:dyDescent="0.25">
      <c r="F93" s="2">
        <f t="shared" si="3"/>
        <v>0.89000000000000057</v>
      </c>
      <c r="G93" s="2">
        <f t="shared" si="4"/>
        <v>2.8487775735613483</v>
      </c>
      <c r="H93" s="2">
        <f t="shared" si="5"/>
        <v>2.8702593025797523</v>
      </c>
    </row>
    <row r="94" spans="6:8" x14ac:dyDescent="0.25">
      <c r="F94" s="2">
        <f t="shared" si="3"/>
        <v>0.90000000000000058</v>
      </c>
      <c r="G94" s="2">
        <f t="shared" si="4"/>
        <v>2.897265349296962</v>
      </c>
      <c r="H94" s="2">
        <f t="shared" si="5"/>
        <v>2.9192062223139024</v>
      </c>
    </row>
    <row r="95" spans="6:8" x14ac:dyDescent="0.25">
      <c r="F95" s="2">
        <f t="shared" si="3"/>
        <v>0.91000000000000059</v>
      </c>
      <c r="G95" s="2">
        <f t="shared" si="4"/>
        <v>2.9462380027899315</v>
      </c>
      <c r="H95" s="2">
        <f t="shared" si="5"/>
        <v>2.9686450667696365</v>
      </c>
    </row>
    <row r="96" spans="6:8" x14ac:dyDescent="0.25">
      <c r="F96" s="2">
        <f t="shared" si="3"/>
        <v>0.9200000000000006</v>
      </c>
      <c r="G96" s="2">
        <f t="shared" si="4"/>
        <v>2.995700382817831</v>
      </c>
      <c r="H96" s="2">
        <f t="shared" si="5"/>
        <v>3.0185807798725985</v>
      </c>
    </row>
    <row r="97" spans="6:8" x14ac:dyDescent="0.25">
      <c r="F97" s="2">
        <f t="shared" si="3"/>
        <v>0.9300000000000006</v>
      </c>
      <c r="G97" s="2">
        <f t="shared" si="4"/>
        <v>3.0456573866460093</v>
      </c>
      <c r="H97" s="2">
        <f t="shared" si="5"/>
        <v>3.0690183552357126</v>
      </c>
    </row>
    <row r="98" spans="6:8" x14ac:dyDescent="0.25">
      <c r="F98" s="2">
        <f t="shared" si="3"/>
        <v>0.94000000000000061</v>
      </c>
      <c r="G98" s="2">
        <f t="shared" si="4"/>
        <v>3.0961139605124695</v>
      </c>
      <c r="H98" s="2">
        <f t="shared" si="5"/>
        <v>3.1199628366585461</v>
      </c>
    </row>
    <row r="99" spans="6:8" x14ac:dyDescent="0.25">
      <c r="F99" s="2">
        <f t="shared" si="3"/>
        <v>0.95000000000000062</v>
      </c>
      <c r="G99" s="2">
        <f t="shared" si="4"/>
        <v>3.1470751001175943</v>
      </c>
      <c r="H99" s="2">
        <f t="shared" si="5"/>
        <v>3.1714193186316955</v>
      </c>
    </row>
    <row r="100" spans="6:8" x14ac:dyDescent="0.25">
      <c r="F100" s="2">
        <f t="shared" si="3"/>
        <v>0.96000000000000063</v>
      </c>
      <c r="G100" s="2">
        <f t="shared" si="4"/>
        <v>3.1985458511187703</v>
      </c>
      <c r="H100" s="2">
        <f t="shared" si="5"/>
        <v>3.2233929468462383</v>
      </c>
    </row>
    <row r="101" spans="6:8" x14ac:dyDescent="0.25">
      <c r="F101" s="2">
        <f t="shared" si="3"/>
        <v>0.97000000000000064</v>
      </c>
      <c r="G101" s="2">
        <f t="shared" si="4"/>
        <v>3.2505313096299582</v>
      </c>
      <c r="H101" s="2">
        <f t="shared" si="5"/>
        <v>3.2758889187083087</v>
      </c>
    </row>
    <row r="102" spans="6:8" x14ac:dyDescent="0.25">
      <c r="F102" s="2">
        <f t="shared" si="3"/>
        <v>0.98000000000000065</v>
      </c>
      <c r="G102" s="2">
        <f t="shared" si="4"/>
        <v>3.3030366227262578</v>
      </c>
      <c r="H102" s="2">
        <f t="shared" si="5"/>
        <v>3.3289124838588373</v>
      </c>
    </row>
    <row r="103" spans="6:8" x14ac:dyDescent="0.25">
      <c r="F103" s="2">
        <f t="shared" si="3"/>
        <v>0.99000000000000066</v>
      </c>
      <c r="G103" s="2">
        <f t="shared" si="4"/>
        <v>3.3560669889535202</v>
      </c>
      <c r="H103" s="2">
        <f t="shared" si="5"/>
        <v>3.3824689446985285</v>
      </c>
    </row>
    <row r="104" spans="6:8" x14ac:dyDescent="0.25">
      <c r="F104" s="2">
        <f t="shared" si="3"/>
        <v>1.0000000000000007</v>
      </c>
      <c r="G104" s="2">
        <f t="shared" si="4"/>
        <v>3.4096276588430556</v>
      </c>
      <c r="H104" s="2">
        <f t="shared" si="5"/>
        <v>3.4365636569180937</v>
      </c>
    </row>
    <row r="105" spans="6:8" x14ac:dyDescent="0.25">
      <c r="F105" s="2">
        <f t="shared" si="3"/>
        <v>1.0100000000000007</v>
      </c>
      <c r="G105" s="2">
        <f t="shared" si="4"/>
        <v>3.4637239354314864</v>
      </c>
      <c r="H105" s="2">
        <f t="shared" si="5"/>
        <v>3.4912020300338371</v>
      </c>
    </row>
    <row r="106" spans="6:8" x14ac:dyDescent="0.25">
      <c r="F106" s="2">
        <f t="shared" si="3"/>
        <v>1.0200000000000007</v>
      </c>
      <c r="G106" s="2">
        <f t="shared" si="4"/>
        <v>3.5183611747858015</v>
      </c>
      <c r="H106" s="2">
        <f t="shared" si="5"/>
        <v>3.5463895279286</v>
      </c>
    </row>
    <row r="107" spans="6:8" x14ac:dyDescent="0.25">
      <c r="F107" s="2">
        <f t="shared" si="3"/>
        <v>1.0300000000000007</v>
      </c>
      <c r="G107" s="2">
        <f t="shared" si="4"/>
        <v>3.5735447865336596</v>
      </c>
      <c r="H107" s="2">
        <f t="shared" si="5"/>
        <v>3.6021316693981618</v>
      </c>
    </row>
    <row r="108" spans="6:8" x14ac:dyDescent="0.25">
      <c r="F108" s="2">
        <f t="shared" si="3"/>
        <v>1.0400000000000007</v>
      </c>
      <c r="G108" s="2">
        <f t="shared" si="4"/>
        <v>3.6292802343989963</v>
      </c>
      <c r="H108" s="2">
        <f t="shared" si="5"/>
        <v>3.6584340287031232</v>
      </c>
    </row>
    <row r="109" spans="6:8" x14ac:dyDescent="0.25">
      <c r="F109" s="2">
        <f t="shared" si="3"/>
        <v>1.0500000000000007</v>
      </c>
      <c r="G109" s="2">
        <f t="shared" si="4"/>
        <v>3.6855730367429862</v>
      </c>
      <c r="H109" s="2">
        <f t="shared" si="5"/>
        <v>3.7153022361263313</v>
      </c>
    </row>
    <row r="110" spans="6:8" x14ac:dyDescent="0.25">
      <c r="F110" s="2">
        <f t="shared" si="3"/>
        <v>1.0600000000000007</v>
      </c>
      <c r="G110" s="2">
        <f t="shared" si="4"/>
        <v>3.7424287671104159</v>
      </c>
      <c r="H110" s="2">
        <f t="shared" si="5"/>
        <v>3.7727419785359206</v>
      </c>
    </row>
    <row r="111" spans="6:8" x14ac:dyDescent="0.25">
      <c r="F111" s="2">
        <f t="shared" si="3"/>
        <v>1.0700000000000007</v>
      </c>
      <c r="G111" s="2">
        <f t="shared" si="4"/>
        <v>3.7998530547815204</v>
      </c>
      <c r="H111" s="2">
        <f t="shared" si="5"/>
        <v>3.8307589999539973</v>
      </c>
    </row>
    <row r="112" spans="6:8" x14ac:dyDescent="0.25">
      <c r="F112" s="2">
        <f t="shared" si="3"/>
        <v>1.0800000000000007</v>
      </c>
      <c r="G112" s="2">
        <f t="shared" si="4"/>
        <v>3.8578515853293358</v>
      </c>
      <c r="H112" s="2">
        <f t="shared" si="5"/>
        <v>3.8893591021310518</v>
      </c>
    </row>
    <row r="113" spans="6:8" x14ac:dyDescent="0.25">
      <c r="F113" s="2">
        <f t="shared" si="3"/>
        <v>1.0900000000000007</v>
      </c>
      <c r="G113" s="2">
        <f t="shared" si="4"/>
        <v>3.916430101182629</v>
      </c>
      <c r="H113" s="2">
        <f t="shared" si="5"/>
        <v>3.9485481451261348</v>
      </c>
    </row>
    <row r="114" spans="6:8" x14ac:dyDescent="0.25">
      <c r="F114" s="2">
        <f t="shared" si="3"/>
        <v>1.1000000000000008</v>
      </c>
      <c r="G114" s="2">
        <f t="shared" si="4"/>
        <v>3.9755944021944551</v>
      </c>
      <c r="H114" s="2">
        <f t="shared" si="5"/>
        <v>4.0083320478928703</v>
      </c>
    </row>
    <row r="115" spans="6:8" x14ac:dyDescent="0.25">
      <c r="F115" s="2">
        <f t="shared" si="3"/>
        <v>1.1100000000000008</v>
      </c>
      <c r="G115" s="2">
        <f t="shared" si="4"/>
        <v>4.0353503462163989</v>
      </c>
      <c r="H115" s="2">
        <f t="shared" si="5"/>
        <v>4.068716788871356</v>
      </c>
    </row>
    <row r="116" spans="6:8" x14ac:dyDescent="0.25">
      <c r="F116" s="2">
        <f t="shared" si="3"/>
        <v>1.1200000000000008</v>
      </c>
      <c r="G116" s="2">
        <f t="shared" si="4"/>
        <v>4.0957038496785625</v>
      </c>
      <c r="H116" s="2">
        <f t="shared" si="5"/>
        <v>4.1297084065860092</v>
      </c>
    </row>
    <row r="117" spans="6:8" x14ac:dyDescent="0.25">
      <c r="F117" s="2">
        <f t="shared" si="3"/>
        <v>1.1300000000000008</v>
      </c>
      <c r="G117" s="2">
        <f t="shared" si="4"/>
        <v>4.156660888175348</v>
      </c>
      <c r="H117" s="2">
        <f t="shared" si="5"/>
        <v>4.1913130002494281</v>
      </c>
    </row>
    <row r="118" spans="6:8" x14ac:dyDescent="0.25">
      <c r="F118" s="2">
        <f t="shared" si="3"/>
        <v>1.1400000000000008</v>
      </c>
      <c r="G118" s="2">
        <f t="shared" si="4"/>
        <v>4.218227497057101</v>
      </c>
      <c r="H118" s="2">
        <f t="shared" si="5"/>
        <v>4.2535367303723168</v>
      </c>
    </row>
    <row r="119" spans="6:8" x14ac:dyDescent="0.25">
      <c r="F119" s="2">
        <f t="shared" si="3"/>
        <v>1.1500000000000008</v>
      </c>
      <c r="G119" s="2">
        <f t="shared" si="4"/>
        <v>4.2804097720276717</v>
      </c>
      <c r="H119" s="2">
        <f t="shared" si="5"/>
        <v>4.3163858193795406</v>
      </c>
    </row>
    <row r="120" spans="6:8" x14ac:dyDescent="0.25">
      <c r="F120" s="2">
        <f t="shared" si="3"/>
        <v>1.1600000000000008</v>
      </c>
      <c r="G120" s="2">
        <f t="shared" si="4"/>
        <v>4.3432138697479479</v>
      </c>
      <c r="H120" s="2">
        <f t="shared" si="5"/>
        <v>4.3798665522323743</v>
      </c>
    </row>
    <row r="121" spans="6:8" x14ac:dyDescent="0.25">
      <c r="F121" s="2">
        <f t="shared" si="3"/>
        <v>1.1700000000000008</v>
      </c>
      <c r="G121" s="2">
        <f t="shared" si="4"/>
        <v>4.4066460084454269</v>
      </c>
      <c r="H121" s="2">
        <f t="shared" si="5"/>
        <v>4.4439852770570054</v>
      </c>
    </row>
    <row r="122" spans="6:8" x14ac:dyDescent="0.25">
      <c r="F122" s="2">
        <f t="shared" si="3"/>
        <v>1.1800000000000008</v>
      </c>
      <c r="G122" s="2">
        <f t="shared" si="4"/>
        <v>4.4707124685298805</v>
      </c>
      <c r="H122" s="2">
        <f t="shared" si="5"/>
        <v>4.5087484057793468</v>
      </c>
    </row>
    <row r="123" spans="6:8" x14ac:dyDescent="0.25">
      <c r="F123" s="2">
        <f t="shared" si="3"/>
        <v>1.1900000000000008</v>
      </c>
      <c r="G123" s="2">
        <f t="shared" si="4"/>
        <v>4.5354195932151793</v>
      </c>
      <c r="H123" s="2">
        <f t="shared" si="5"/>
        <v>4.5741624147662421</v>
      </c>
    </row>
    <row r="124" spans="6:8" x14ac:dyDescent="0.25">
      <c r="F124" s="2">
        <f t="shared" si="3"/>
        <v>1.2000000000000008</v>
      </c>
      <c r="G124" s="2">
        <f t="shared" si="4"/>
        <v>4.6007737891473308</v>
      </c>
      <c r="H124" s="2">
        <f t="shared" si="5"/>
        <v>4.6402338454731007</v>
      </c>
    </row>
    <row r="125" spans="6:8" x14ac:dyDescent="0.25">
      <c r="F125" s="2">
        <f t="shared" si="3"/>
        <v>1.2100000000000009</v>
      </c>
      <c r="G125" s="2">
        <f t="shared" si="4"/>
        <v>4.666781527038804</v>
      </c>
      <c r="H125" s="2">
        <f t="shared" si="5"/>
        <v>4.7069693050980534</v>
      </c>
    </row>
    <row r="126" spans="6:8" x14ac:dyDescent="0.25">
      <c r="F126" s="2">
        <f t="shared" si="3"/>
        <v>1.2200000000000009</v>
      </c>
      <c r="G126" s="2">
        <f t="shared" si="4"/>
        <v>4.7334493423091919</v>
      </c>
      <c r="H126" s="2">
        <f t="shared" si="5"/>
        <v>4.7743754672426748</v>
      </c>
    </row>
    <row r="127" spans="6:8" x14ac:dyDescent="0.25">
      <c r="F127" s="2">
        <f t="shared" si="3"/>
        <v>1.2300000000000009</v>
      </c>
      <c r="G127" s="2">
        <f t="shared" si="4"/>
        <v>4.8007838357322834</v>
      </c>
      <c r="H127" s="2">
        <f t="shared" si="5"/>
        <v>4.842459072579353</v>
      </c>
    </row>
    <row r="128" spans="6:8" x14ac:dyDescent="0.25">
      <c r="F128" s="2">
        <f t="shared" si="3"/>
        <v>1.2400000000000009</v>
      </c>
      <c r="G128" s="2">
        <f t="shared" si="4"/>
        <v>4.8687916740896062</v>
      </c>
      <c r="H128" s="2">
        <f t="shared" si="5"/>
        <v>4.9112269295253572</v>
      </c>
    </row>
    <row r="129" spans="6:8" x14ac:dyDescent="0.25">
      <c r="F129" s="2">
        <f t="shared" si="3"/>
        <v>1.2500000000000009</v>
      </c>
      <c r="G129" s="2">
        <f t="shared" si="4"/>
        <v>4.9374795908305016</v>
      </c>
      <c r="H129" s="2">
        <f t="shared" si="5"/>
        <v>4.9806859149236891</v>
      </c>
    </row>
    <row r="130" spans="6:8" x14ac:dyDescent="0.25">
      <c r="F130" s="2">
        <f t="shared" si="3"/>
        <v>1.2600000000000009</v>
      </c>
      <c r="G130" s="2">
        <f t="shared" si="4"/>
        <v>5.006854386738806</v>
      </c>
      <c r="H130" s="2">
        <f t="shared" si="5"/>
        <v>5.050842974730771</v>
      </c>
    </row>
    <row r="131" spans="6:8" x14ac:dyDescent="0.25">
      <c r="F131" s="2">
        <f t="shared" si="3"/>
        <v>1.2700000000000009</v>
      </c>
      <c r="G131" s="2">
        <f t="shared" si="4"/>
        <v>5.0769229306061936</v>
      </c>
      <c r="H131" s="2">
        <f t="shared" si="5"/>
        <v>5.1217051247110472</v>
      </c>
    </row>
    <row r="132" spans="6:8" x14ac:dyDescent="0.25">
      <c r="F132" s="2">
        <f t="shared" si="3"/>
        <v>1.2800000000000009</v>
      </c>
      <c r="G132" s="2">
        <f t="shared" si="4"/>
        <v>5.1476921599122551</v>
      </c>
      <c r="H132" s="2">
        <f t="shared" si="5"/>
        <v>5.1932794511385696</v>
      </c>
    </row>
    <row r="133" spans="6:8" x14ac:dyDescent="0.25">
      <c r="F133" s="2">
        <f t="shared" si="3"/>
        <v>1.2900000000000009</v>
      </c>
      <c r="G133" s="2">
        <f t="shared" si="4"/>
        <v>5.2191690815113772</v>
      </c>
      <c r="H133" s="2">
        <f t="shared" si="5"/>
        <v>5.265573111505625</v>
      </c>
    </row>
    <row r="134" spans="6:8" x14ac:dyDescent="0.25">
      <c r="F134" s="2">
        <f t="shared" ref="F134:F197" si="6">IF(F133&lt;2,F133+$D$6,NA())</f>
        <v>1.3000000000000009</v>
      </c>
      <c r="G134" s="2">
        <f t="shared" ref="G134:G197" si="7">IF(ISNA(F134), NA(),(1+$D$3*$D$6)*G133+$D$6*$D$4)</f>
        <v>5.2913607723264908</v>
      </c>
      <c r="H134" s="2">
        <f t="shared" ref="H134:H197" si="8">IF(ISNA(G134),NA(),$D$7*EXP($D$3*F134)-($D$4/$D$3))</f>
        <v>5.3385933352384951</v>
      </c>
    </row>
    <row r="135" spans="6:8" x14ac:dyDescent="0.25">
      <c r="F135" s="2">
        <f t="shared" si="6"/>
        <v>1.3100000000000009</v>
      </c>
      <c r="G135" s="2">
        <f t="shared" si="7"/>
        <v>5.3642743800497552</v>
      </c>
      <c r="H135" s="2">
        <f t="shared" si="8"/>
        <v>5.4123474244204042</v>
      </c>
    </row>
    <row r="136" spans="6:8" x14ac:dyDescent="0.25">
      <c r="F136" s="2">
        <f t="shared" si="6"/>
        <v>1.320000000000001</v>
      </c>
      <c r="G136" s="2">
        <f t="shared" si="7"/>
        <v>5.4379171238502524</v>
      </c>
      <c r="H136" s="2">
        <f t="shared" si="8"/>
        <v>5.4868427545217324</v>
      </c>
    </row>
    <row r="137" spans="6:8" x14ac:dyDescent="0.25">
      <c r="F137" s="2">
        <f t="shared" si="6"/>
        <v>1.330000000000001</v>
      </c>
      <c r="G137" s="2">
        <f t="shared" si="7"/>
        <v>5.5122962950887544</v>
      </c>
      <c r="H137" s="2">
        <f t="shared" si="8"/>
        <v>5.5620867751375691</v>
      </c>
    </row>
    <row r="138" spans="6:8" x14ac:dyDescent="0.25">
      <c r="F138" s="2">
        <f t="shared" si="6"/>
        <v>1.340000000000001</v>
      </c>
      <c r="G138" s="2">
        <f t="shared" si="7"/>
        <v>5.5874192580396418</v>
      </c>
      <c r="H138" s="2">
        <f t="shared" si="8"/>
        <v>5.6380870107326793</v>
      </c>
    </row>
    <row r="139" spans="6:8" x14ac:dyDescent="0.25">
      <c r="F139" s="2">
        <f t="shared" si="6"/>
        <v>1.350000000000001</v>
      </c>
      <c r="G139" s="2">
        <f t="shared" si="7"/>
        <v>5.6632934506200376</v>
      </c>
      <c r="H139" s="2">
        <f t="shared" si="8"/>
        <v>5.714851061393956</v>
      </c>
    </row>
    <row r="140" spans="6:8" x14ac:dyDescent="0.25">
      <c r="F140" s="2">
        <f t="shared" si="6"/>
        <v>1.360000000000001</v>
      </c>
      <c r="G140" s="2">
        <f t="shared" si="7"/>
        <v>5.7399263851262372</v>
      </c>
      <c r="H140" s="2">
        <f t="shared" si="8"/>
        <v>5.7923866035904368</v>
      </c>
    </row>
    <row r="141" spans="6:8" x14ac:dyDescent="0.25">
      <c r="F141" s="2">
        <f t="shared" si="6"/>
        <v>1.370000000000001</v>
      </c>
      <c r="G141" s="2">
        <f t="shared" si="7"/>
        <v>5.8173256489774996</v>
      </c>
      <c r="H141" s="2">
        <f t="shared" si="8"/>
        <v>5.8707013909409538</v>
      </c>
    </row>
    <row r="142" spans="6:8" x14ac:dyDescent="0.25">
      <c r="F142" s="2">
        <f t="shared" si="6"/>
        <v>1.380000000000001</v>
      </c>
      <c r="G142" s="2">
        <f t="shared" si="7"/>
        <v>5.8954989054672744</v>
      </c>
      <c r="H142" s="2">
        <f t="shared" si="8"/>
        <v>5.9498032549895044</v>
      </c>
    </row>
    <row r="143" spans="6:8" x14ac:dyDescent="0.25">
      <c r="F143" s="2">
        <f t="shared" si="6"/>
        <v>1.390000000000001</v>
      </c>
      <c r="G143" s="2">
        <f t="shared" si="7"/>
        <v>5.9744538945219468</v>
      </c>
      <c r="H143" s="2">
        <f t="shared" si="8"/>
        <v>6.0297001059884128</v>
      </c>
    </row>
    <row r="144" spans="6:8" x14ac:dyDescent="0.25">
      <c r="F144" s="2">
        <f t="shared" si="6"/>
        <v>1.400000000000001</v>
      </c>
      <c r="G144" s="2">
        <f t="shared" si="7"/>
        <v>6.0541984334671657</v>
      </c>
      <c r="H144" s="2">
        <f t="shared" si="8"/>
        <v>6.110399933689358</v>
      </c>
    </row>
    <row r="145" spans="6:8" x14ac:dyDescent="0.25">
      <c r="F145" s="2">
        <f t="shared" si="6"/>
        <v>1.410000000000001</v>
      </c>
      <c r="G145" s="2">
        <f t="shared" si="7"/>
        <v>6.1347404178018365</v>
      </c>
      <c r="H145" s="2">
        <f t="shared" si="8"/>
        <v>6.1919108081423619</v>
      </c>
    </row>
    <row r="146" spans="6:8" x14ac:dyDescent="0.25">
      <c r="F146" s="2">
        <f t="shared" si="6"/>
        <v>1.420000000000001</v>
      </c>
      <c r="G146" s="2">
        <f t="shared" si="7"/>
        <v>6.2160878219798548</v>
      </c>
      <c r="H146" s="2">
        <f t="shared" si="8"/>
        <v>6.2742408805027949</v>
      </c>
    </row>
    <row r="147" spans="6:8" x14ac:dyDescent="0.25">
      <c r="F147" s="2">
        <f t="shared" si="6"/>
        <v>1.430000000000001</v>
      </c>
      <c r="G147" s="2">
        <f t="shared" si="7"/>
        <v>6.298248700199653</v>
      </c>
      <c r="H147" s="2">
        <f t="shared" si="8"/>
        <v>6.3573983838465011</v>
      </c>
    </row>
    <row r="148" spans="6:8" x14ac:dyDescent="0.25">
      <c r="F148" s="2">
        <f t="shared" si="6"/>
        <v>1.4400000000000011</v>
      </c>
      <c r="G148" s="2">
        <f t="shared" si="7"/>
        <v>6.3812311872016494</v>
      </c>
      <c r="H148" s="2">
        <f t="shared" si="8"/>
        <v>6.4413916339931152</v>
      </c>
    </row>
    <row r="149" spans="6:8" x14ac:dyDescent="0.25">
      <c r="F149" s="2">
        <f t="shared" si="6"/>
        <v>1.4500000000000011</v>
      </c>
      <c r="G149" s="2">
        <f t="shared" si="7"/>
        <v>6.4650434990736656</v>
      </c>
      <c r="H149" s="2">
        <f t="shared" si="8"/>
        <v>6.5262290303376442</v>
      </c>
    </row>
    <row r="150" spans="6:8" x14ac:dyDescent="0.25">
      <c r="F150" s="2">
        <f t="shared" si="6"/>
        <v>1.4600000000000011</v>
      </c>
      <c r="G150" s="2">
        <f t="shared" si="7"/>
        <v>6.5496939340644023</v>
      </c>
      <c r="H150" s="2">
        <f t="shared" si="8"/>
        <v>6.6119190566904216</v>
      </c>
    </row>
    <row r="151" spans="6:8" x14ac:dyDescent="0.25">
      <c r="F151" s="2">
        <f t="shared" si="6"/>
        <v>1.4700000000000011</v>
      </c>
      <c r="G151" s="2">
        <f t="shared" si="7"/>
        <v>6.6351908734050458</v>
      </c>
      <c r="H151" s="2">
        <f t="shared" si="8"/>
        <v>6.6984702821254913</v>
      </c>
    </row>
    <row r="152" spans="6:8" x14ac:dyDescent="0.25">
      <c r="F152" s="2">
        <f t="shared" si="6"/>
        <v>1.4800000000000011</v>
      </c>
      <c r="G152" s="2">
        <f t="shared" si="7"/>
        <v>6.7215427821390961</v>
      </c>
      <c r="H152" s="2">
        <f t="shared" si="8"/>
        <v>6.785891361837523</v>
      </c>
    </row>
    <row r="153" spans="6:8" x14ac:dyDescent="0.25">
      <c r="F153" s="2">
        <f t="shared" si="6"/>
        <v>1.4900000000000011</v>
      </c>
      <c r="G153" s="2">
        <f t="shared" si="7"/>
        <v>6.8087582099604864</v>
      </c>
      <c r="H153" s="2">
        <f t="shared" si="8"/>
        <v>6.8741910380073392</v>
      </c>
    </row>
    <row r="154" spans="6:8" x14ac:dyDescent="0.25">
      <c r="F154" s="2">
        <f t="shared" si="6"/>
        <v>1.5000000000000011</v>
      </c>
      <c r="G154" s="2">
        <f t="shared" si="7"/>
        <v>6.8968457920600912</v>
      </c>
      <c r="H154" s="2">
        <f t="shared" si="8"/>
        <v>6.9633781406761397</v>
      </c>
    </row>
    <row r="155" spans="6:8" x14ac:dyDescent="0.25">
      <c r="F155" s="2">
        <f t="shared" si="6"/>
        <v>1.5100000000000011</v>
      </c>
      <c r="G155" s="2">
        <f t="shared" si="7"/>
        <v>6.9858142499806917</v>
      </c>
      <c r="H155" s="2">
        <f t="shared" si="8"/>
        <v>7.0534615886285152</v>
      </c>
    </row>
    <row r="156" spans="6:8" x14ac:dyDescent="0.25">
      <c r="F156" s="2">
        <f t="shared" si="6"/>
        <v>1.5200000000000011</v>
      </c>
      <c r="G156" s="2">
        <f t="shared" si="7"/>
        <v>7.0756723924804978</v>
      </c>
      <c r="H156" s="2">
        <f t="shared" si="8"/>
        <v>7.1444503902843284</v>
      </c>
    </row>
    <row r="157" spans="6:8" x14ac:dyDescent="0.25">
      <c r="F157" s="2">
        <f t="shared" si="6"/>
        <v>1.5300000000000011</v>
      </c>
      <c r="G157" s="2">
        <f t="shared" si="7"/>
        <v>7.1664291164053022</v>
      </c>
      <c r="H157" s="2">
        <f t="shared" si="8"/>
        <v>7.2363536445995713</v>
      </c>
    </row>
    <row r="158" spans="6:8" x14ac:dyDescent="0.25">
      <c r="F158" s="2">
        <f t="shared" si="6"/>
        <v>1.5400000000000011</v>
      </c>
      <c r="G158" s="2">
        <f t="shared" si="7"/>
        <v>7.2580934075693548</v>
      </c>
      <c r="H158" s="2">
        <f t="shared" si="8"/>
        <v>7.3291805419762621</v>
      </c>
    </row>
    <row r="159" spans="6:8" x14ac:dyDescent="0.25">
      <c r="F159" s="2">
        <f t="shared" si="6"/>
        <v>1.5500000000000012</v>
      </c>
      <c r="G159" s="2">
        <f t="shared" si="7"/>
        <v>7.350674341645048</v>
      </c>
      <c r="H159" s="2">
        <f t="shared" si="8"/>
        <v>7.4229403651814927</v>
      </c>
    </row>
    <row r="160" spans="6:8" x14ac:dyDescent="0.25">
      <c r="F160" s="2">
        <f t="shared" si="6"/>
        <v>1.5600000000000012</v>
      </c>
      <c r="G160" s="2">
        <f t="shared" si="7"/>
        <v>7.4441810850614978</v>
      </c>
      <c r="H160" s="2">
        <f t="shared" si="8"/>
        <v>7.5176424902757191</v>
      </c>
    </row>
    <row r="161" spans="6:8" x14ac:dyDescent="0.25">
      <c r="F161" s="2">
        <f t="shared" si="6"/>
        <v>1.5700000000000012</v>
      </c>
      <c r="G161" s="2">
        <f t="shared" si="7"/>
        <v>7.5386228959121127</v>
      </c>
      <c r="H161" s="2">
        <f t="shared" si="8"/>
        <v>7.613296387550367</v>
      </c>
    </row>
    <row r="162" spans="6:8" x14ac:dyDescent="0.25">
      <c r="F162" s="2">
        <f t="shared" si="6"/>
        <v>1.5800000000000012</v>
      </c>
      <c r="G162" s="2">
        <f t="shared" si="7"/>
        <v>7.6340091248712332</v>
      </c>
      <c r="H162" s="2">
        <f t="shared" si="8"/>
        <v>7.7099116224748787</v>
      </c>
    </row>
    <row r="163" spans="6:8" x14ac:dyDescent="0.25">
      <c r="F163" s="2">
        <f t="shared" si="6"/>
        <v>1.5900000000000012</v>
      </c>
      <c r="G163" s="2">
        <f t="shared" si="7"/>
        <v>7.7303492161199454</v>
      </c>
      <c r="H163" s="2">
        <f t="shared" si="8"/>
        <v>7.8074978566532565</v>
      </c>
    </row>
    <row r="164" spans="6:8" x14ac:dyDescent="0.25">
      <c r="F164" s="2">
        <f t="shared" si="6"/>
        <v>1.6000000000000012</v>
      </c>
      <c r="G164" s="2">
        <f t="shared" si="7"/>
        <v>7.8276527082811445</v>
      </c>
      <c r="H164" s="2">
        <f t="shared" si="8"/>
        <v>7.9060648487902423</v>
      </c>
    </row>
    <row r="165" spans="6:8" x14ac:dyDescent="0.25">
      <c r="F165" s="2">
        <f t="shared" si="6"/>
        <v>1.6100000000000012</v>
      </c>
      <c r="G165" s="2">
        <f t="shared" si="7"/>
        <v>7.9259292353639559</v>
      </c>
      <c r="H165" s="2">
        <f t="shared" si="8"/>
        <v>8.0056224556671882</v>
      </c>
    </row>
    <row r="166" spans="6:8" x14ac:dyDescent="0.25">
      <c r="F166" s="2">
        <f t="shared" si="6"/>
        <v>1.6200000000000012</v>
      </c>
      <c r="G166" s="2">
        <f t="shared" si="7"/>
        <v>8.0251885277175958</v>
      </c>
      <c r="H166" s="2">
        <f t="shared" si="8"/>
        <v>8.1061806331277459</v>
      </c>
    </row>
    <row r="167" spans="6:8" x14ac:dyDescent="0.25">
      <c r="F167" s="2">
        <f t="shared" si="6"/>
        <v>1.6300000000000012</v>
      </c>
      <c r="G167" s="2">
        <f t="shared" si="7"/>
        <v>8.1254404129947719</v>
      </c>
      <c r="H167" s="2">
        <f t="shared" si="8"/>
        <v>8.2077494370734634</v>
      </c>
    </row>
    <row r="168" spans="6:8" x14ac:dyDescent="0.25">
      <c r="F168" s="2">
        <f t="shared" si="6"/>
        <v>1.6400000000000012</v>
      </c>
      <c r="G168" s="2">
        <f t="shared" si="7"/>
        <v>8.2266948171247201</v>
      </c>
      <c r="H168" s="2">
        <f t="shared" si="8"/>
        <v>8.3103390244693749</v>
      </c>
    </row>
    <row r="169" spans="6:8" x14ac:dyDescent="0.25">
      <c r="F169" s="2">
        <f t="shared" si="6"/>
        <v>1.6500000000000012</v>
      </c>
      <c r="G169" s="2">
        <f t="shared" si="7"/>
        <v>8.3289617652959667</v>
      </c>
      <c r="H169" s="2">
        <f t="shared" si="8"/>
        <v>8.4139596543597097</v>
      </c>
    </row>
    <row r="170" spans="6:8" x14ac:dyDescent="0.25">
      <c r="F170" s="2">
        <f t="shared" si="6"/>
        <v>1.6600000000000013</v>
      </c>
      <c r="G170" s="2">
        <f t="shared" si="7"/>
        <v>8.4322513829489267</v>
      </c>
      <c r="H170" s="2">
        <f t="shared" si="8"/>
        <v>8.5186216888938109</v>
      </c>
    </row>
    <row r="171" spans="6:8" x14ac:dyDescent="0.25">
      <c r="F171" s="2">
        <f t="shared" si="6"/>
        <v>1.6700000000000013</v>
      </c>
      <c r="G171" s="2">
        <f t="shared" si="7"/>
        <v>8.5365738967784157</v>
      </c>
      <c r="H171" s="2">
        <f t="shared" si="8"/>
        <v>8.6243355943623481</v>
      </c>
    </row>
    <row r="172" spans="6:8" x14ac:dyDescent="0.25">
      <c r="F172" s="2">
        <f t="shared" si="6"/>
        <v>1.6800000000000013</v>
      </c>
      <c r="G172" s="2">
        <f t="shared" si="7"/>
        <v>8.6419396357461995</v>
      </c>
      <c r="H172" s="2">
        <f t="shared" si="8"/>
        <v>8.7311119422439631</v>
      </c>
    </row>
    <row r="173" spans="6:8" x14ac:dyDescent="0.25">
      <c r="F173" s="2">
        <f t="shared" si="6"/>
        <v>1.6900000000000013</v>
      </c>
      <c r="G173" s="2">
        <f t="shared" si="7"/>
        <v>8.7483590321036608</v>
      </c>
      <c r="H173" s="2">
        <f t="shared" si="8"/>
        <v>8.8389614102624261</v>
      </c>
    </row>
    <row r="174" spans="6:8" x14ac:dyDescent="0.25">
      <c r="F174" s="2">
        <f t="shared" si="6"/>
        <v>1.7000000000000013</v>
      </c>
      <c r="G174" s="2">
        <f t="shared" si="7"/>
        <v>8.8558426224246976</v>
      </c>
      <c r="H174" s="2">
        <f t="shared" si="8"/>
        <v>8.947894783454414</v>
      </c>
    </row>
    <row r="175" spans="6:8" x14ac:dyDescent="0.25">
      <c r="F175" s="2">
        <f t="shared" si="6"/>
        <v>1.7100000000000013</v>
      </c>
      <c r="G175" s="2">
        <f t="shared" si="7"/>
        <v>8.9644010486489449</v>
      </c>
      <c r="H175" s="2">
        <f t="shared" si="8"/>
        <v>9.0579229552480225</v>
      </c>
    </row>
    <row r="176" spans="6:8" x14ac:dyDescent="0.25">
      <c r="F176" s="2">
        <f t="shared" si="6"/>
        <v>1.7200000000000013</v>
      </c>
      <c r="G176" s="2">
        <f t="shared" si="7"/>
        <v>9.0740450591354342</v>
      </c>
      <c r="H176" s="2">
        <f t="shared" si="8"/>
        <v>9.1690569285521217</v>
      </c>
    </row>
    <row r="177" spans="6:8" x14ac:dyDescent="0.25">
      <c r="F177" s="2">
        <f t="shared" si="6"/>
        <v>1.7300000000000013</v>
      </c>
      <c r="G177" s="2">
        <f t="shared" si="7"/>
        <v>9.1847855097267885</v>
      </c>
      <c r="H177" s="2">
        <f t="shared" si="8"/>
        <v>9.281307816856657</v>
      </c>
    </row>
    <row r="178" spans="6:8" x14ac:dyDescent="0.25">
      <c r="F178" s="2">
        <f t="shared" si="6"/>
        <v>1.7400000000000013</v>
      </c>
      <c r="G178" s="2">
        <f t="shared" si="7"/>
        <v>9.2966333648240553</v>
      </c>
      <c r="H178" s="2">
        <f t="shared" si="8"/>
        <v>9.3946868453439976</v>
      </c>
    </row>
    <row r="179" spans="6:8" x14ac:dyDescent="0.25">
      <c r="F179" s="2">
        <f t="shared" si="6"/>
        <v>1.7500000000000013</v>
      </c>
      <c r="G179" s="2">
        <f t="shared" si="7"/>
        <v>9.4095996984722952</v>
      </c>
      <c r="H179" s="2">
        <f t="shared" si="8"/>
        <v>9.5092053520114757</v>
      </c>
    </row>
    <row r="180" spans="6:8" x14ac:dyDescent="0.25">
      <c r="F180" s="2">
        <f t="shared" si="6"/>
        <v>1.7600000000000013</v>
      </c>
      <c r="G180" s="2">
        <f t="shared" si="7"/>
        <v>9.5236956954570182</v>
      </c>
      <c r="H180" s="2">
        <f t="shared" si="8"/>
        <v>9.6248747888051938</v>
      </c>
    </row>
    <row r="181" spans="6:8" x14ac:dyDescent="0.25">
      <c r="F181" s="2">
        <f t="shared" si="6"/>
        <v>1.7700000000000014</v>
      </c>
      <c r="G181" s="2">
        <f t="shared" si="7"/>
        <v>9.6389326524115884</v>
      </c>
      <c r="H181" s="2">
        <f t="shared" si="8"/>
        <v>9.7417067227652172</v>
      </c>
    </row>
    <row r="182" spans="6:8" x14ac:dyDescent="0.25">
      <c r="F182" s="2">
        <f t="shared" si="6"/>
        <v>1.7800000000000014</v>
      </c>
      <c r="G182" s="2">
        <f t="shared" si="7"/>
        <v>9.7553219789357044</v>
      </c>
      <c r="H182" s="2">
        <f t="shared" si="8"/>
        <v>9.8597128371823075</v>
      </c>
    </row>
    <row r="183" spans="6:8" x14ac:dyDescent="0.25">
      <c r="F183" s="2">
        <f t="shared" si="6"/>
        <v>1.7900000000000014</v>
      </c>
      <c r="G183" s="2">
        <f t="shared" si="7"/>
        <v>9.8728751987250618</v>
      </c>
      <c r="H183" s="2">
        <f t="shared" si="8"/>
        <v>9.9789049327662429</v>
      </c>
    </row>
    <row r="184" spans="6:8" x14ac:dyDescent="0.25">
      <c r="F184" s="2">
        <f t="shared" si="6"/>
        <v>1.8000000000000014</v>
      </c>
      <c r="G184" s="2">
        <f t="shared" si="7"/>
        <v>9.991603950712312</v>
      </c>
      <c r="H184" s="2">
        <f t="shared" si="8"/>
        <v>10.099294928825909</v>
      </c>
    </row>
    <row r="185" spans="6:8" x14ac:dyDescent="0.25">
      <c r="F185" s="2">
        <f t="shared" si="6"/>
        <v>1.8100000000000014</v>
      </c>
      <c r="G185" s="2">
        <f t="shared" si="7"/>
        <v>10.111519990219435</v>
      </c>
      <c r="H185" s="2">
        <f t="shared" si="8"/>
        <v>10.220894864461236</v>
      </c>
    </row>
    <row r="186" spans="6:8" x14ac:dyDescent="0.25">
      <c r="F186" s="2">
        <f t="shared" si="6"/>
        <v>1.8200000000000014</v>
      </c>
      <c r="G186" s="2">
        <f t="shared" si="7"/>
        <v>10.232635190121629</v>
      </c>
      <c r="H186" s="2">
        <f t="shared" si="8"/>
        <v>10.343716899767124</v>
      </c>
    </row>
    <row r="187" spans="6:8" x14ac:dyDescent="0.25">
      <c r="F187" s="2">
        <f t="shared" si="6"/>
        <v>1.8300000000000014</v>
      </c>
      <c r="G187" s="2">
        <f t="shared" si="7"/>
        <v>10.354961542022846</v>
      </c>
      <c r="H187" s="2">
        <f t="shared" si="8"/>
        <v>10.467773317049453</v>
      </c>
    </row>
    <row r="188" spans="6:8" x14ac:dyDescent="0.25">
      <c r="F188" s="2">
        <f t="shared" si="6"/>
        <v>1.8400000000000014</v>
      </c>
      <c r="G188" s="2">
        <f t="shared" si="7"/>
        <v>10.478511157443073</v>
      </c>
      <c r="H188" s="2">
        <f t="shared" si="8"/>
        <v>10.593076522053332</v>
      </c>
    </row>
    <row r="189" spans="6:8" x14ac:dyDescent="0.25">
      <c r="F189" s="2">
        <f t="shared" si="6"/>
        <v>1.8500000000000014</v>
      </c>
      <c r="G189" s="2">
        <f t="shared" si="7"/>
        <v>10.603296269017504</v>
      </c>
      <c r="H189" s="2">
        <f t="shared" si="8"/>
        <v>10.719639045203682</v>
      </c>
    </row>
    <row r="190" spans="6:8" x14ac:dyDescent="0.25">
      <c r="F190" s="2">
        <f t="shared" si="6"/>
        <v>1.8600000000000014</v>
      </c>
      <c r="G190" s="2">
        <f t="shared" si="7"/>
        <v>10.729329231707679</v>
      </c>
      <c r="H190" s="2">
        <f t="shared" si="8"/>
        <v>10.847473542858287</v>
      </c>
    </row>
    <row r="191" spans="6:8" x14ac:dyDescent="0.25">
      <c r="F191" s="2">
        <f t="shared" si="6"/>
        <v>1.8700000000000014</v>
      </c>
      <c r="G191" s="2">
        <f t="shared" si="7"/>
        <v>10.856622524024756</v>
      </c>
      <c r="H191" s="2">
        <f t="shared" si="8"/>
        <v>10.97659279857344</v>
      </c>
    </row>
    <row r="192" spans="6:8" x14ac:dyDescent="0.25">
      <c r="F192" s="2">
        <f t="shared" si="6"/>
        <v>1.8800000000000014</v>
      </c>
      <c r="G192" s="2">
        <f t="shared" si="7"/>
        <v>10.985188749265003</v>
      </c>
      <c r="H192" s="2">
        <f t="shared" si="8"/>
        <v>11.107009724382316</v>
      </c>
    </row>
    <row r="193" spans="6:8" x14ac:dyDescent="0.25">
      <c r="F193" s="2">
        <f t="shared" si="6"/>
        <v>1.8900000000000015</v>
      </c>
      <c r="G193" s="2">
        <f t="shared" si="7"/>
        <v>11.115040636757653</v>
      </c>
      <c r="H193" s="2">
        <f t="shared" si="8"/>
        <v>11.238737362086175</v>
      </c>
    </row>
    <row r="194" spans="6:8" x14ac:dyDescent="0.25">
      <c r="F194" s="2">
        <f t="shared" si="6"/>
        <v>1.9000000000000015</v>
      </c>
      <c r="G194" s="2">
        <f t="shared" si="7"/>
        <v>11.246191043125229</v>
      </c>
      <c r="H194" s="2">
        <f t="shared" si="8"/>
        <v>11.371788884558558</v>
      </c>
    </row>
    <row r="195" spans="6:8" x14ac:dyDescent="0.25">
      <c r="F195" s="2">
        <f t="shared" si="6"/>
        <v>1.9100000000000015</v>
      </c>
      <c r="G195" s="2">
        <f t="shared" si="7"/>
        <v>11.378652953556481</v>
      </c>
      <c r="H195" s="2">
        <f t="shared" si="8"/>
        <v>11.506177597062594</v>
      </c>
    </row>
    <row r="196" spans="6:8" x14ac:dyDescent="0.25">
      <c r="F196" s="2">
        <f t="shared" si="6"/>
        <v>1.9200000000000015</v>
      </c>
      <c r="G196" s="2">
        <f t="shared" si="7"/>
        <v>11.512439483092045</v>
      </c>
      <c r="H196" s="2">
        <f t="shared" si="8"/>
        <v>11.64191693858152</v>
      </c>
    </row>
    <row r="197" spans="6:8" x14ac:dyDescent="0.25">
      <c r="F197" s="2">
        <f t="shared" si="6"/>
        <v>1.9300000000000015</v>
      </c>
      <c r="G197" s="2">
        <f t="shared" si="7"/>
        <v>11.647563877922964</v>
      </c>
      <c r="H197" s="2">
        <f t="shared" si="8"/>
        <v>11.779020483162606</v>
      </c>
    </row>
    <row r="198" spans="6:8" x14ac:dyDescent="0.25">
      <c r="F198" s="2">
        <f t="shared" ref="F198:F261" si="9">IF(F197&lt;2,F197+$D$6,NA())</f>
        <v>1.9400000000000015</v>
      </c>
      <c r="G198" s="2">
        <f t="shared" ref="G198:G261" si="10">IF(ISNA(F198), NA(),(1+$D$3*$D$6)*G197+$D$6*$D$4)</f>
        <v>11.784039516702194</v>
      </c>
      <c r="H198" s="2">
        <f t="shared" ref="H198:H261" si="11">IF(ISNA(G198),NA(),$D$7*EXP($D$3*F198)-($D$4/$D$3))</f>
        <v>11.917501941274566</v>
      </c>
    </row>
    <row r="199" spans="6:8" x14ac:dyDescent="0.25">
      <c r="F199" s="2">
        <f t="shared" si="9"/>
        <v>1.9500000000000015</v>
      </c>
      <c r="G199" s="2">
        <f t="shared" si="10"/>
        <v>11.921879911869215</v>
      </c>
      <c r="H199" s="2">
        <f t="shared" si="11"/>
        <v>12.057375161178609</v>
      </c>
    </row>
    <row r="200" spans="6:8" x14ac:dyDescent="0.25">
      <c r="F200" s="2">
        <f t="shared" si="9"/>
        <v>1.9600000000000015</v>
      </c>
      <c r="G200" s="2">
        <f t="shared" si="10"/>
        <v>12.061098710987908</v>
      </c>
      <c r="H200" s="2">
        <f t="shared" si="11"/>
        <v>12.198654130313287</v>
      </c>
    </row>
    <row r="201" spans="6:8" x14ac:dyDescent="0.25">
      <c r="F201" s="2">
        <f t="shared" si="9"/>
        <v>1.9700000000000015</v>
      </c>
      <c r="G201" s="2">
        <f t="shared" si="10"/>
        <v>12.201709698097787</v>
      </c>
      <c r="H201" s="2">
        <f t="shared" si="11"/>
        <v>12.341352976693248</v>
      </c>
    </row>
    <row r="202" spans="6:8" x14ac:dyDescent="0.25">
      <c r="F202" s="2">
        <f t="shared" si="9"/>
        <v>1.9800000000000015</v>
      </c>
      <c r="G202" s="2">
        <f t="shared" si="10"/>
        <v>12.343726795078764</v>
      </c>
      <c r="H202" s="2">
        <f t="shared" si="11"/>
        <v>12.485485970322047</v>
      </c>
    </row>
    <row r="203" spans="6:8" x14ac:dyDescent="0.25">
      <c r="F203" s="2">
        <f t="shared" si="9"/>
        <v>1.9900000000000015</v>
      </c>
      <c r="G203" s="2">
        <f t="shared" si="10"/>
        <v>12.487164063029551</v>
      </c>
      <c r="H203" s="2">
        <f t="shared" si="11"/>
        <v>12.631067524619155</v>
      </c>
    </row>
    <row r="204" spans="6:8" x14ac:dyDescent="0.25">
      <c r="F204" s="2">
        <f t="shared" si="9"/>
        <v>2.0000000000000013</v>
      </c>
      <c r="G204" s="2">
        <f t="shared" si="10"/>
        <v>12.632035703659847</v>
      </c>
      <c r="H204" s="2">
        <f t="shared" si="11"/>
        <v>12.77811219786132</v>
      </c>
    </row>
    <row r="205" spans="6:8" x14ac:dyDescent="0.25">
      <c r="F205" s="2" t="e">
        <f t="shared" si="9"/>
        <v>#N/A</v>
      </c>
      <c r="G205" s="2" t="s">
        <v>2</v>
      </c>
      <c r="H205" s="2" t="e">
        <f t="shared" si="11"/>
        <v>#N/A</v>
      </c>
    </row>
    <row r="206" spans="6:8" x14ac:dyDescent="0.25">
      <c r="F206" s="2" t="e">
        <f t="shared" si="9"/>
        <v>#N/A</v>
      </c>
      <c r="G206" s="2" t="e">
        <f t="shared" si="10"/>
        <v>#N/A</v>
      </c>
      <c r="H206" s="2" t="e">
        <f t="shared" si="11"/>
        <v>#N/A</v>
      </c>
    </row>
    <row r="207" spans="6:8" x14ac:dyDescent="0.25">
      <c r="F207" s="2" t="e">
        <f t="shared" si="9"/>
        <v>#N/A</v>
      </c>
      <c r="G207" s="2" t="e">
        <f t="shared" si="10"/>
        <v>#N/A</v>
      </c>
      <c r="H207" s="2" t="e">
        <f t="shared" si="11"/>
        <v>#N/A</v>
      </c>
    </row>
    <row r="208" spans="6:8" x14ac:dyDescent="0.25">
      <c r="F208" s="2" t="e">
        <f t="shared" si="9"/>
        <v>#N/A</v>
      </c>
      <c r="G208" s="2" t="e">
        <f t="shared" si="10"/>
        <v>#N/A</v>
      </c>
      <c r="H208" s="2" t="e">
        <f t="shared" si="11"/>
        <v>#N/A</v>
      </c>
    </row>
    <row r="209" spans="6:8" x14ac:dyDescent="0.25">
      <c r="F209" s="2" t="e">
        <f t="shared" si="9"/>
        <v>#N/A</v>
      </c>
      <c r="G209" s="2" t="e">
        <f t="shared" si="10"/>
        <v>#N/A</v>
      </c>
      <c r="H209" s="2" t="e">
        <f t="shared" si="11"/>
        <v>#N/A</v>
      </c>
    </row>
    <row r="210" spans="6:8" x14ac:dyDescent="0.25">
      <c r="F210" s="2" t="e">
        <f t="shared" si="9"/>
        <v>#N/A</v>
      </c>
      <c r="G210" s="2" t="e">
        <f t="shared" si="10"/>
        <v>#N/A</v>
      </c>
      <c r="H210" s="2" t="e">
        <f t="shared" si="11"/>
        <v>#N/A</v>
      </c>
    </row>
    <row r="211" spans="6:8" x14ac:dyDescent="0.25">
      <c r="F211" s="2" t="e">
        <f t="shared" si="9"/>
        <v>#N/A</v>
      </c>
      <c r="G211" s="2" t="e">
        <f t="shared" si="10"/>
        <v>#N/A</v>
      </c>
      <c r="H211" s="2" t="e">
        <f t="shared" si="11"/>
        <v>#N/A</v>
      </c>
    </row>
    <row r="212" spans="6:8" x14ac:dyDescent="0.25">
      <c r="F212" s="2" t="e">
        <f t="shared" si="9"/>
        <v>#N/A</v>
      </c>
      <c r="G212" s="2" t="e">
        <f t="shared" si="10"/>
        <v>#N/A</v>
      </c>
      <c r="H212" s="2" t="e">
        <f t="shared" si="11"/>
        <v>#N/A</v>
      </c>
    </row>
    <row r="213" spans="6:8" x14ac:dyDescent="0.25">
      <c r="F213" s="2" t="e">
        <f t="shared" si="9"/>
        <v>#N/A</v>
      </c>
      <c r="G213" s="2" t="e">
        <f t="shared" si="10"/>
        <v>#N/A</v>
      </c>
      <c r="H213" s="2" t="e">
        <f t="shared" si="11"/>
        <v>#N/A</v>
      </c>
    </row>
    <row r="214" spans="6:8" x14ac:dyDescent="0.25">
      <c r="F214" s="2" t="e">
        <f t="shared" si="9"/>
        <v>#N/A</v>
      </c>
      <c r="G214" s="2" t="e">
        <f t="shared" si="10"/>
        <v>#N/A</v>
      </c>
      <c r="H214" s="2" t="e">
        <f t="shared" si="11"/>
        <v>#N/A</v>
      </c>
    </row>
    <row r="215" spans="6:8" x14ac:dyDescent="0.25">
      <c r="F215" s="2" t="e">
        <f t="shared" si="9"/>
        <v>#N/A</v>
      </c>
      <c r="G215" s="2" t="e">
        <f t="shared" si="10"/>
        <v>#N/A</v>
      </c>
      <c r="H215" s="2" t="e">
        <f t="shared" si="11"/>
        <v>#N/A</v>
      </c>
    </row>
    <row r="216" spans="6:8" x14ac:dyDescent="0.25">
      <c r="F216" s="2" t="e">
        <f t="shared" si="9"/>
        <v>#N/A</v>
      </c>
      <c r="G216" s="2" t="e">
        <f t="shared" si="10"/>
        <v>#N/A</v>
      </c>
      <c r="H216" s="2" t="e">
        <f t="shared" si="11"/>
        <v>#N/A</v>
      </c>
    </row>
    <row r="217" spans="6:8" x14ac:dyDescent="0.25">
      <c r="F217" s="2" t="e">
        <f t="shared" si="9"/>
        <v>#N/A</v>
      </c>
      <c r="G217" s="2" t="e">
        <f t="shared" si="10"/>
        <v>#N/A</v>
      </c>
      <c r="H217" s="2" t="e">
        <f t="shared" si="11"/>
        <v>#N/A</v>
      </c>
    </row>
    <row r="218" spans="6:8" x14ac:dyDescent="0.25">
      <c r="F218" s="2" t="e">
        <f t="shared" si="9"/>
        <v>#N/A</v>
      </c>
      <c r="G218" s="2" t="e">
        <f t="shared" si="10"/>
        <v>#N/A</v>
      </c>
      <c r="H218" s="2" t="e">
        <f t="shared" si="11"/>
        <v>#N/A</v>
      </c>
    </row>
    <row r="219" spans="6:8" x14ac:dyDescent="0.25">
      <c r="F219" s="2" t="e">
        <f t="shared" si="9"/>
        <v>#N/A</v>
      </c>
      <c r="G219" s="2" t="e">
        <f t="shared" si="10"/>
        <v>#N/A</v>
      </c>
      <c r="H219" s="2" t="e">
        <f t="shared" si="11"/>
        <v>#N/A</v>
      </c>
    </row>
    <row r="220" spans="6:8" x14ac:dyDescent="0.25">
      <c r="F220" s="2" t="e">
        <f t="shared" si="9"/>
        <v>#N/A</v>
      </c>
      <c r="G220" s="2" t="e">
        <f t="shared" si="10"/>
        <v>#N/A</v>
      </c>
      <c r="H220" s="2" t="e">
        <f t="shared" si="11"/>
        <v>#N/A</v>
      </c>
    </row>
    <row r="221" spans="6:8" x14ac:dyDescent="0.25">
      <c r="F221" s="2" t="e">
        <f t="shared" si="9"/>
        <v>#N/A</v>
      </c>
      <c r="G221" s="2" t="e">
        <f t="shared" si="10"/>
        <v>#N/A</v>
      </c>
      <c r="H221" s="2" t="e">
        <f t="shared" si="11"/>
        <v>#N/A</v>
      </c>
    </row>
    <row r="222" spans="6:8" x14ac:dyDescent="0.25">
      <c r="F222" s="2" t="e">
        <f t="shared" si="9"/>
        <v>#N/A</v>
      </c>
      <c r="G222" s="2" t="e">
        <f t="shared" si="10"/>
        <v>#N/A</v>
      </c>
      <c r="H222" s="2" t="e">
        <f t="shared" si="11"/>
        <v>#N/A</v>
      </c>
    </row>
    <row r="223" spans="6:8" x14ac:dyDescent="0.25">
      <c r="F223" s="2" t="e">
        <f t="shared" si="9"/>
        <v>#N/A</v>
      </c>
      <c r="G223" s="2" t="e">
        <f t="shared" si="10"/>
        <v>#N/A</v>
      </c>
      <c r="H223" s="2" t="e">
        <f t="shared" si="11"/>
        <v>#N/A</v>
      </c>
    </row>
    <row r="224" spans="6:8" x14ac:dyDescent="0.25">
      <c r="F224" s="2" t="e">
        <f t="shared" si="9"/>
        <v>#N/A</v>
      </c>
      <c r="G224" s="2" t="e">
        <f t="shared" si="10"/>
        <v>#N/A</v>
      </c>
      <c r="H224" s="2" t="e">
        <f t="shared" si="11"/>
        <v>#N/A</v>
      </c>
    </row>
    <row r="225" spans="6:8" x14ac:dyDescent="0.25">
      <c r="F225" s="2" t="e">
        <f t="shared" si="9"/>
        <v>#N/A</v>
      </c>
      <c r="G225" s="2" t="e">
        <f t="shared" si="10"/>
        <v>#N/A</v>
      </c>
      <c r="H225" s="2" t="e">
        <f t="shared" si="11"/>
        <v>#N/A</v>
      </c>
    </row>
    <row r="226" spans="6:8" x14ac:dyDescent="0.25">
      <c r="F226" s="2" t="e">
        <f t="shared" si="9"/>
        <v>#N/A</v>
      </c>
      <c r="G226" s="2" t="e">
        <f t="shared" si="10"/>
        <v>#N/A</v>
      </c>
      <c r="H226" s="2" t="e">
        <f t="shared" si="11"/>
        <v>#N/A</v>
      </c>
    </row>
    <row r="227" spans="6:8" x14ac:dyDescent="0.25">
      <c r="F227" s="2" t="e">
        <f t="shared" si="9"/>
        <v>#N/A</v>
      </c>
      <c r="G227" s="2" t="e">
        <f t="shared" si="10"/>
        <v>#N/A</v>
      </c>
      <c r="H227" s="2" t="e">
        <f t="shared" si="11"/>
        <v>#N/A</v>
      </c>
    </row>
    <row r="228" spans="6:8" x14ac:dyDescent="0.25">
      <c r="F228" s="2" t="e">
        <f t="shared" si="9"/>
        <v>#N/A</v>
      </c>
      <c r="G228" s="2" t="e">
        <f t="shared" si="10"/>
        <v>#N/A</v>
      </c>
      <c r="H228" s="2" t="e">
        <f t="shared" si="11"/>
        <v>#N/A</v>
      </c>
    </row>
    <row r="229" spans="6:8" x14ac:dyDescent="0.25">
      <c r="F229" s="2" t="e">
        <f t="shared" si="9"/>
        <v>#N/A</v>
      </c>
      <c r="G229" s="2" t="e">
        <f t="shared" si="10"/>
        <v>#N/A</v>
      </c>
      <c r="H229" s="2" t="e">
        <f t="shared" si="11"/>
        <v>#N/A</v>
      </c>
    </row>
    <row r="230" spans="6:8" x14ac:dyDescent="0.25">
      <c r="F230" s="2" t="e">
        <f t="shared" si="9"/>
        <v>#N/A</v>
      </c>
      <c r="G230" s="2" t="e">
        <f t="shared" si="10"/>
        <v>#N/A</v>
      </c>
      <c r="H230" s="2" t="e">
        <f t="shared" si="11"/>
        <v>#N/A</v>
      </c>
    </row>
    <row r="231" spans="6:8" x14ac:dyDescent="0.25">
      <c r="F231" s="2" t="e">
        <f t="shared" si="9"/>
        <v>#N/A</v>
      </c>
      <c r="G231" s="2" t="e">
        <f t="shared" si="10"/>
        <v>#N/A</v>
      </c>
      <c r="H231" s="2" t="e">
        <f t="shared" si="11"/>
        <v>#N/A</v>
      </c>
    </row>
    <row r="232" spans="6:8" x14ac:dyDescent="0.25">
      <c r="F232" s="2" t="e">
        <f t="shared" si="9"/>
        <v>#N/A</v>
      </c>
      <c r="G232" s="2" t="e">
        <f t="shared" si="10"/>
        <v>#N/A</v>
      </c>
      <c r="H232" s="2" t="e">
        <f t="shared" si="11"/>
        <v>#N/A</v>
      </c>
    </row>
    <row r="233" spans="6:8" x14ac:dyDescent="0.25">
      <c r="F233" s="2" t="e">
        <f t="shared" si="9"/>
        <v>#N/A</v>
      </c>
      <c r="G233" s="2" t="e">
        <f t="shared" si="10"/>
        <v>#N/A</v>
      </c>
      <c r="H233" s="2" t="e">
        <f t="shared" si="11"/>
        <v>#N/A</v>
      </c>
    </row>
    <row r="234" spans="6:8" x14ac:dyDescent="0.25">
      <c r="F234" s="2" t="e">
        <f t="shared" si="9"/>
        <v>#N/A</v>
      </c>
      <c r="G234" s="2" t="e">
        <f t="shared" si="10"/>
        <v>#N/A</v>
      </c>
      <c r="H234" s="2" t="e">
        <f t="shared" si="11"/>
        <v>#N/A</v>
      </c>
    </row>
    <row r="235" spans="6:8" x14ac:dyDescent="0.25">
      <c r="F235" s="2" t="e">
        <f t="shared" si="9"/>
        <v>#N/A</v>
      </c>
      <c r="G235" s="2" t="e">
        <f t="shared" si="10"/>
        <v>#N/A</v>
      </c>
      <c r="H235" s="2" t="e">
        <f t="shared" si="11"/>
        <v>#N/A</v>
      </c>
    </row>
    <row r="236" spans="6:8" x14ac:dyDescent="0.25">
      <c r="F236" s="2" t="e">
        <f t="shared" si="9"/>
        <v>#N/A</v>
      </c>
      <c r="G236" s="2" t="e">
        <f t="shared" si="10"/>
        <v>#N/A</v>
      </c>
      <c r="H236" s="2" t="e">
        <f t="shared" si="11"/>
        <v>#N/A</v>
      </c>
    </row>
    <row r="237" spans="6:8" x14ac:dyDescent="0.25">
      <c r="F237" s="2" t="e">
        <f t="shared" si="9"/>
        <v>#N/A</v>
      </c>
      <c r="G237" s="2" t="e">
        <f t="shared" si="10"/>
        <v>#N/A</v>
      </c>
      <c r="H237" s="2" t="e">
        <f t="shared" si="11"/>
        <v>#N/A</v>
      </c>
    </row>
    <row r="238" spans="6:8" x14ac:dyDescent="0.25">
      <c r="F238" s="2" t="e">
        <f t="shared" si="9"/>
        <v>#N/A</v>
      </c>
      <c r="G238" s="2" t="e">
        <f t="shared" si="10"/>
        <v>#N/A</v>
      </c>
      <c r="H238" s="2" t="e">
        <f t="shared" si="11"/>
        <v>#N/A</v>
      </c>
    </row>
    <row r="239" spans="6:8" x14ac:dyDescent="0.25">
      <c r="F239" s="2" t="e">
        <f t="shared" si="9"/>
        <v>#N/A</v>
      </c>
      <c r="G239" s="2" t="e">
        <f t="shared" si="10"/>
        <v>#N/A</v>
      </c>
      <c r="H239" s="2" t="e">
        <f t="shared" si="11"/>
        <v>#N/A</v>
      </c>
    </row>
    <row r="240" spans="6:8" x14ac:dyDescent="0.25">
      <c r="F240" s="2" t="e">
        <f t="shared" si="9"/>
        <v>#N/A</v>
      </c>
      <c r="G240" s="2" t="e">
        <f t="shared" si="10"/>
        <v>#N/A</v>
      </c>
      <c r="H240" s="2" t="e">
        <f t="shared" si="11"/>
        <v>#N/A</v>
      </c>
    </row>
    <row r="241" spans="6:8" x14ac:dyDescent="0.25">
      <c r="F241" s="2" t="e">
        <f t="shared" si="9"/>
        <v>#N/A</v>
      </c>
      <c r="G241" s="2" t="e">
        <f t="shared" si="10"/>
        <v>#N/A</v>
      </c>
      <c r="H241" s="2" t="e">
        <f t="shared" si="11"/>
        <v>#N/A</v>
      </c>
    </row>
    <row r="242" spans="6:8" x14ac:dyDescent="0.25">
      <c r="F242" s="2" t="e">
        <f t="shared" si="9"/>
        <v>#N/A</v>
      </c>
      <c r="G242" s="2" t="e">
        <f t="shared" si="10"/>
        <v>#N/A</v>
      </c>
      <c r="H242" s="2" t="e">
        <f t="shared" si="11"/>
        <v>#N/A</v>
      </c>
    </row>
    <row r="243" spans="6:8" x14ac:dyDescent="0.25">
      <c r="F243" s="2" t="e">
        <f t="shared" si="9"/>
        <v>#N/A</v>
      </c>
      <c r="G243" s="2" t="e">
        <f t="shared" si="10"/>
        <v>#N/A</v>
      </c>
      <c r="H243" s="2" t="e">
        <f t="shared" si="11"/>
        <v>#N/A</v>
      </c>
    </row>
    <row r="244" spans="6:8" x14ac:dyDescent="0.25">
      <c r="F244" s="2" t="e">
        <f t="shared" si="9"/>
        <v>#N/A</v>
      </c>
      <c r="G244" s="2" t="e">
        <f t="shared" si="10"/>
        <v>#N/A</v>
      </c>
      <c r="H244" s="2" t="e">
        <f t="shared" si="11"/>
        <v>#N/A</v>
      </c>
    </row>
    <row r="245" spans="6:8" x14ac:dyDescent="0.25">
      <c r="F245" s="2" t="e">
        <f t="shared" si="9"/>
        <v>#N/A</v>
      </c>
      <c r="G245" s="2" t="e">
        <f t="shared" si="10"/>
        <v>#N/A</v>
      </c>
      <c r="H245" s="2" t="e">
        <f t="shared" si="11"/>
        <v>#N/A</v>
      </c>
    </row>
    <row r="246" spans="6:8" x14ac:dyDescent="0.25">
      <c r="F246" s="2" t="e">
        <f t="shared" si="9"/>
        <v>#N/A</v>
      </c>
      <c r="G246" s="2" t="e">
        <f t="shared" si="10"/>
        <v>#N/A</v>
      </c>
      <c r="H246" s="2" t="e">
        <f t="shared" si="11"/>
        <v>#N/A</v>
      </c>
    </row>
    <row r="247" spans="6:8" x14ac:dyDescent="0.25">
      <c r="F247" s="2" t="e">
        <f t="shared" si="9"/>
        <v>#N/A</v>
      </c>
      <c r="G247" s="2" t="e">
        <f t="shared" si="10"/>
        <v>#N/A</v>
      </c>
      <c r="H247" s="2" t="e">
        <f t="shared" si="11"/>
        <v>#N/A</v>
      </c>
    </row>
    <row r="248" spans="6:8" x14ac:dyDescent="0.25">
      <c r="F248" s="2" t="e">
        <f t="shared" si="9"/>
        <v>#N/A</v>
      </c>
      <c r="G248" s="2" t="e">
        <f t="shared" si="10"/>
        <v>#N/A</v>
      </c>
      <c r="H248" s="2" t="e">
        <f t="shared" si="11"/>
        <v>#N/A</v>
      </c>
    </row>
    <row r="249" spans="6:8" x14ac:dyDescent="0.25">
      <c r="F249" s="2" t="e">
        <f t="shared" si="9"/>
        <v>#N/A</v>
      </c>
      <c r="G249" s="2" t="e">
        <f t="shared" si="10"/>
        <v>#N/A</v>
      </c>
      <c r="H249" s="2" t="e">
        <f t="shared" si="11"/>
        <v>#N/A</v>
      </c>
    </row>
    <row r="250" spans="6:8" x14ac:dyDescent="0.25">
      <c r="F250" s="2" t="e">
        <f t="shared" si="9"/>
        <v>#N/A</v>
      </c>
      <c r="G250" s="2" t="e">
        <f t="shared" si="10"/>
        <v>#N/A</v>
      </c>
      <c r="H250" s="2" t="e">
        <f t="shared" si="11"/>
        <v>#N/A</v>
      </c>
    </row>
    <row r="251" spans="6:8" x14ac:dyDescent="0.25">
      <c r="F251" s="2" t="e">
        <f t="shared" si="9"/>
        <v>#N/A</v>
      </c>
      <c r="G251" s="2" t="e">
        <f t="shared" si="10"/>
        <v>#N/A</v>
      </c>
      <c r="H251" s="2" t="e">
        <f t="shared" si="11"/>
        <v>#N/A</v>
      </c>
    </row>
    <row r="252" spans="6:8" x14ac:dyDescent="0.25">
      <c r="F252" s="2" t="e">
        <f t="shared" si="9"/>
        <v>#N/A</v>
      </c>
      <c r="G252" s="2" t="e">
        <f t="shared" si="10"/>
        <v>#N/A</v>
      </c>
      <c r="H252" s="2" t="e">
        <f t="shared" si="11"/>
        <v>#N/A</v>
      </c>
    </row>
    <row r="253" spans="6:8" x14ac:dyDescent="0.25">
      <c r="F253" s="2" t="e">
        <f t="shared" si="9"/>
        <v>#N/A</v>
      </c>
      <c r="G253" s="2" t="e">
        <f t="shared" si="10"/>
        <v>#N/A</v>
      </c>
      <c r="H253" s="2" t="e">
        <f t="shared" si="11"/>
        <v>#N/A</v>
      </c>
    </row>
    <row r="254" spans="6:8" x14ac:dyDescent="0.25">
      <c r="F254" s="2" t="e">
        <f t="shared" si="9"/>
        <v>#N/A</v>
      </c>
      <c r="G254" s="2" t="e">
        <f t="shared" si="10"/>
        <v>#N/A</v>
      </c>
      <c r="H254" s="2" t="e">
        <f t="shared" si="11"/>
        <v>#N/A</v>
      </c>
    </row>
    <row r="255" spans="6:8" x14ac:dyDescent="0.25">
      <c r="F255" s="2" t="e">
        <f t="shared" si="9"/>
        <v>#N/A</v>
      </c>
      <c r="G255" s="2" t="e">
        <f t="shared" si="10"/>
        <v>#N/A</v>
      </c>
      <c r="H255" s="2" t="e">
        <f t="shared" si="11"/>
        <v>#N/A</v>
      </c>
    </row>
    <row r="256" spans="6:8" x14ac:dyDescent="0.25">
      <c r="F256" s="2" t="e">
        <f t="shared" si="9"/>
        <v>#N/A</v>
      </c>
      <c r="G256" s="2" t="e">
        <f t="shared" si="10"/>
        <v>#N/A</v>
      </c>
      <c r="H256" s="2" t="e">
        <f t="shared" si="11"/>
        <v>#N/A</v>
      </c>
    </row>
    <row r="257" spans="6:8" x14ac:dyDescent="0.25">
      <c r="F257" s="2" t="e">
        <f t="shared" si="9"/>
        <v>#N/A</v>
      </c>
      <c r="G257" s="2" t="e">
        <f t="shared" si="10"/>
        <v>#N/A</v>
      </c>
      <c r="H257" s="2" t="e">
        <f t="shared" si="11"/>
        <v>#N/A</v>
      </c>
    </row>
    <row r="258" spans="6:8" x14ac:dyDescent="0.25">
      <c r="F258" s="2" t="e">
        <f t="shared" si="9"/>
        <v>#N/A</v>
      </c>
      <c r="G258" s="2" t="e">
        <f t="shared" si="10"/>
        <v>#N/A</v>
      </c>
      <c r="H258" s="2" t="e">
        <f t="shared" si="11"/>
        <v>#N/A</v>
      </c>
    </row>
    <row r="259" spans="6:8" x14ac:dyDescent="0.25">
      <c r="F259" s="2" t="e">
        <f t="shared" si="9"/>
        <v>#N/A</v>
      </c>
      <c r="G259" s="2" t="e">
        <f t="shared" si="10"/>
        <v>#N/A</v>
      </c>
      <c r="H259" s="2" t="e">
        <f t="shared" si="11"/>
        <v>#N/A</v>
      </c>
    </row>
    <row r="260" spans="6:8" x14ac:dyDescent="0.25">
      <c r="F260" s="2" t="e">
        <f t="shared" si="9"/>
        <v>#N/A</v>
      </c>
      <c r="G260" s="2" t="e">
        <f t="shared" si="10"/>
        <v>#N/A</v>
      </c>
      <c r="H260" s="2" t="e">
        <f t="shared" si="11"/>
        <v>#N/A</v>
      </c>
    </row>
    <row r="261" spans="6:8" x14ac:dyDescent="0.25">
      <c r="F261" s="2" t="e">
        <f t="shared" si="9"/>
        <v>#N/A</v>
      </c>
      <c r="G261" s="2" t="e">
        <f t="shared" si="10"/>
        <v>#N/A</v>
      </c>
      <c r="H261" s="2" t="e">
        <f t="shared" si="11"/>
        <v>#N/A</v>
      </c>
    </row>
    <row r="262" spans="6:8" x14ac:dyDescent="0.25">
      <c r="F262" s="2" t="e">
        <f t="shared" ref="F262:F325" si="12">IF(F261&lt;2,F261+$D$6,NA())</f>
        <v>#N/A</v>
      </c>
      <c r="G262" s="2" t="e">
        <f t="shared" ref="G262:G325" si="13">IF(ISNA(F262), NA(),(1+$D$3*$D$6)*G261+$D$6*$D$4)</f>
        <v>#N/A</v>
      </c>
      <c r="H262" s="2" t="e">
        <f t="shared" ref="H262:H325" si="14">IF(ISNA(G262),NA(),$D$7*EXP($D$3*F262)-($D$4/$D$3))</f>
        <v>#N/A</v>
      </c>
    </row>
    <row r="263" spans="6:8" x14ac:dyDescent="0.25">
      <c r="F263" s="2" t="e">
        <f t="shared" si="12"/>
        <v>#N/A</v>
      </c>
      <c r="G263" s="2" t="e">
        <f t="shared" si="13"/>
        <v>#N/A</v>
      </c>
      <c r="H263" s="2" t="e">
        <f t="shared" si="14"/>
        <v>#N/A</v>
      </c>
    </row>
    <row r="264" spans="6:8" x14ac:dyDescent="0.25">
      <c r="F264" s="2" t="e">
        <f t="shared" si="12"/>
        <v>#N/A</v>
      </c>
      <c r="G264" s="2" t="e">
        <f t="shared" si="13"/>
        <v>#N/A</v>
      </c>
      <c r="H264" s="2" t="e">
        <f t="shared" si="14"/>
        <v>#N/A</v>
      </c>
    </row>
    <row r="265" spans="6:8" x14ac:dyDescent="0.25">
      <c r="F265" s="2" t="e">
        <f t="shared" si="12"/>
        <v>#N/A</v>
      </c>
      <c r="G265" s="2" t="e">
        <f t="shared" si="13"/>
        <v>#N/A</v>
      </c>
      <c r="H265" s="2" t="e">
        <f t="shared" si="14"/>
        <v>#N/A</v>
      </c>
    </row>
    <row r="266" spans="6:8" x14ac:dyDescent="0.25">
      <c r="F266" s="2" t="e">
        <f t="shared" si="12"/>
        <v>#N/A</v>
      </c>
      <c r="G266" s="2" t="e">
        <f t="shared" si="13"/>
        <v>#N/A</v>
      </c>
      <c r="H266" s="2" t="e">
        <f t="shared" si="14"/>
        <v>#N/A</v>
      </c>
    </row>
    <row r="267" spans="6:8" x14ac:dyDescent="0.25">
      <c r="F267" s="2" t="e">
        <f t="shared" si="12"/>
        <v>#N/A</v>
      </c>
      <c r="G267" s="2" t="e">
        <f t="shared" si="13"/>
        <v>#N/A</v>
      </c>
      <c r="H267" s="2" t="e">
        <f t="shared" si="14"/>
        <v>#N/A</v>
      </c>
    </row>
    <row r="268" spans="6:8" x14ac:dyDescent="0.25">
      <c r="F268" s="2" t="e">
        <f t="shared" si="12"/>
        <v>#N/A</v>
      </c>
      <c r="G268" s="2" t="e">
        <f t="shared" si="13"/>
        <v>#N/A</v>
      </c>
      <c r="H268" s="2" t="e">
        <f t="shared" si="14"/>
        <v>#N/A</v>
      </c>
    </row>
    <row r="269" spans="6:8" x14ac:dyDescent="0.25">
      <c r="F269" s="2" t="e">
        <f t="shared" si="12"/>
        <v>#N/A</v>
      </c>
      <c r="G269" s="2" t="e">
        <f t="shared" si="13"/>
        <v>#N/A</v>
      </c>
      <c r="H269" s="2" t="e">
        <f t="shared" si="14"/>
        <v>#N/A</v>
      </c>
    </row>
    <row r="270" spans="6:8" x14ac:dyDescent="0.25">
      <c r="F270" s="2" t="e">
        <f t="shared" si="12"/>
        <v>#N/A</v>
      </c>
      <c r="G270" s="2" t="e">
        <f t="shared" si="13"/>
        <v>#N/A</v>
      </c>
      <c r="H270" s="2" t="e">
        <f t="shared" si="14"/>
        <v>#N/A</v>
      </c>
    </row>
    <row r="271" spans="6:8" x14ac:dyDescent="0.25">
      <c r="F271" s="2" t="e">
        <f t="shared" si="12"/>
        <v>#N/A</v>
      </c>
      <c r="G271" s="2" t="e">
        <f t="shared" si="13"/>
        <v>#N/A</v>
      </c>
      <c r="H271" s="2" t="e">
        <f t="shared" si="14"/>
        <v>#N/A</v>
      </c>
    </row>
    <row r="272" spans="6:8" x14ac:dyDescent="0.25">
      <c r="F272" s="2" t="e">
        <f t="shared" si="12"/>
        <v>#N/A</v>
      </c>
      <c r="G272" s="2" t="e">
        <f t="shared" si="13"/>
        <v>#N/A</v>
      </c>
      <c r="H272" s="2" t="e">
        <f t="shared" si="14"/>
        <v>#N/A</v>
      </c>
    </row>
    <row r="273" spans="6:8" x14ac:dyDescent="0.25">
      <c r="F273" s="2" t="e">
        <f t="shared" si="12"/>
        <v>#N/A</v>
      </c>
      <c r="G273" s="2" t="e">
        <f t="shared" si="13"/>
        <v>#N/A</v>
      </c>
      <c r="H273" s="2" t="e">
        <f t="shared" si="14"/>
        <v>#N/A</v>
      </c>
    </row>
    <row r="274" spans="6:8" x14ac:dyDescent="0.25">
      <c r="F274" s="2" t="e">
        <f t="shared" si="12"/>
        <v>#N/A</v>
      </c>
      <c r="G274" s="2" t="e">
        <f t="shared" si="13"/>
        <v>#N/A</v>
      </c>
      <c r="H274" s="2" t="e">
        <f t="shared" si="14"/>
        <v>#N/A</v>
      </c>
    </row>
    <row r="275" spans="6:8" x14ac:dyDescent="0.25">
      <c r="F275" s="2" t="e">
        <f t="shared" si="12"/>
        <v>#N/A</v>
      </c>
      <c r="G275" s="2" t="e">
        <f t="shared" si="13"/>
        <v>#N/A</v>
      </c>
      <c r="H275" s="2" t="e">
        <f t="shared" si="14"/>
        <v>#N/A</v>
      </c>
    </row>
    <row r="276" spans="6:8" x14ac:dyDescent="0.25">
      <c r="F276" s="2" t="e">
        <f t="shared" si="12"/>
        <v>#N/A</v>
      </c>
      <c r="G276" s="2" t="e">
        <f t="shared" si="13"/>
        <v>#N/A</v>
      </c>
      <c r="H276" s="2" t="e">
        <f t="shared" si="14"/>
        <v>#N/A</v>
      </c>
    </row>
    <row r="277" spans="6:8" x14ac:dyDescent="0.25">
      <c r="F277" s="2" t="e">
        <f t="shared" si="12"/>
        <v>#N/A</v>
      </c>
      <c r="G277" s="2" t="e">
        <f t="shared" si="13"/>
        <v>#N/A</v>
      </c>
      <c r="H277" s="2" t="e">
        <f t="shared" si="14"/>
        <v>#N/A</v>
      </c>
    </row>
    <row r="278" spans="6:8" x14ac:dyDescent="0.25">
      <c r="F278" s="2" t="e">
        <f t="shared" si="12"/>
        <v>#N/A</v>
      </c>
      <c r="G278" s="2" t="e">
        <f t="shared" si="13"/>
        <v>#N/A</v>
      </c>
      <c r="H278" s="2" t="e">
        <f t="shared" si="14"/>
        <v>#N/A</v>
      </c>
    </row>
    <row r="279" spans="6:8" x14ac:dyDescent="0.25">
      <c r="F279" s="2" t="e">
        <f t="shared" si="12"/>
        <v>#N/A</v>
      </c>
      <c r="G279" s="2" t="e">
        <f t="shared" si="13"/>
        <v>#N/A</v>
      </c>
      <c r="H279" s="2" t="e">
        <f t="shared" si="14"/>
        <v>#N/A</v>
      </c>
    </row>
    <row r="280" spans="6:8" x14ac:dyDescent="0.25">
      <c r="F280" s="2" t="e">
        <f t="shared" si="12"/>
        <v>#N/A</v>
      </c>
      <c r="G280" s="2" t="e">
        <f t="shared" si="13"/>
        <v>#N/A</v>
      </c>
      <c r="H280" s="2" t="e">
        <f t="shared" si="14"/>
        <v>#N/A</v>
      </c>
    </row>
    <row r="281" spans="6:8" x14ac:dyDescent="0.25">
      <c r="F281" s="2" t="e">
        <f t="shared" si="12"/>
        <v>#N/A</v>
      </c>
      <c r="G281" s="2" t="e">
        <f t="shared" si="13"/>
        <v>#N/A</v>
      </c>
      <c r="H281" s="2" t="e">
        <f t="shared" si="14"/>
        <v>#N/A</v>
      </c>
    </row>
    <row r="282" spans="6:8" x14ac:dyDescent="0.25">
      <c r="F282" s="2" t="e">
        <f t="shared" si="12"/>
        <v>#N/A</v>
      </c>
      <c r="G282" s="2" t="e">
        <f t="shared" si="13"/>
        <v>#N/A</v>
      </c>
      <c r="H282" s="2" t="e">
        <f t="shared" si="14"/>
        <v>#N/A</v>
      </c>
    </row>
    <row r="283" spans="6:8" x14ac:dyDescent="0.25">
      <c r="F283" s="2" t="e">
        <f t="shared" si="12"/>
        <v>#N/A</v>
      </c>
      <c r="G283" s="2" t="e">
        <f t="shared" si="13"/>
        <v>#N/A</v>
      </c>
      <c r="H283" s="2" t="e">
        <f t="shared" si="14"/>
        <v>#N/A</v>
      </c>
    </row>
    <row r="284" spans="6:8" x14ac:dyDescent="0.25">
      <c r="F284" s="2" t="e">
        <f t="shared" si="12"/>
        <v>#N/A</v>
      </c>
      <c r="G284" s="2" t="e">
        <f t="shared" si="13"/>
        <v>#N/A</v>
      </c>
      <c r="H284" s="2" t="e">
        <f t="shared" si="14"/>
        <v>#N/A</v>
      </c>
    </row>
    <row r="285" spans="6:8" x14ac:dyDescent="0.25">
      <c r="F285" s="2" t="e">
        <f t="shared" si="12"/>
        <v>#N/A</v>
      </c>
      <c r="G285" s="2" t="e">
        <f t="shared" si="13"/>
        <v>#N/A</v>
      </c>
      <c r="H285" s="2" t="e">
        <f t="shared" si="14"/>
        <v>#N/A</v>
      </c>
    </row>
    <row r="286" spans="6:8" x14ac:dyDescent="0.25">
      <c r="F286" s="2" t="e">
        <f t="shared" si="12"/>
        <v>#N/A</v>
      </c>
      <c r="G286" s="2" t="e">
        <f t="shared" si="13"/>
        <v>#N/A</v>
      </c>
      <c r="H286" s="2" t="e">
        <f t="shared" si="14"/>
        <v>#N/A</v>
      </c>
    </row>
    <row r="287" spans="6:8" x14ac:dyDescent="0.25">
      <c r="F287" s="2" t="e">
        <f t="shared" si="12"/>
        <v>#N/A</v>
      </c>
      <c r="G287" s="2" t="e">
        <f t="shared" si="13"/>
        <v>#N/A</v>
      </c>
      <c r="H287" s="2" t="e">
        <f t="shared" si="14"/>
        <v>#N/A</v>
      </c>
    </row>
    <row r="288" spans="6:8" x14ac:dyDescent="0.25">
      <c r="F288" s="2" t="e">
        <f t="shared" si="12"/>
        <v>#N/A</v>
      </c>
      <c r="G288" s="2" t="e">
        <f t="shared" si="13"/>
        <v>#N/A</v>
      </c>
      <c r="H288" s="2" t="e">
        <f t="shared" si="14"/>
        <v>#N/A</v>
      </c>
    </row>
    <row r="289" spans="6:8" x14ac:dyDescent="0.25">
      <c r="F289" s="2" t="e">
        <f t="shared" si="12"/>
        <v>#N/A</v>
      </c>
      <c r="G289" s="2" t="e">
        <f t="shared" si="13"/>
        <v>#N/A</v>
      </c>
      <c r="H289" s="2" t="e">
        <f t="shared" si="14"/>
        <v>#N/A</v>
      </c>
    </row>
    <row r="290" spans="6:8" x14ac:dyDescent="0.25">
      <c r="F290" s="2" t="e">
        <f t="shared" si="12"/>
        <v>#N/A</v>
      </c>
      <c r="G290" s="2" t="e">
        <f t="shared" si="13"/>
        <v>#N/A</v>
      </c>
      <c r="H290" s="2" t="e">
        <f t="shared" si="14"/>
        <v>#N/A</v>
      </c>
    </row>
    <row r="291" spans="6:8" x14ac:dyDescent="0.25">
      <c r="F291" s="2" t="e">
        <f t="shared" si="12"/>
        <v>#N/A</v>
      </c>
      <c r="G291" s="2" t="e">
        <f t="shared" si="13"/>
        <v>#N/A</v>
      </c>
      <c r="H291" s="2" t="e">
        <f t="shared" si="14"/>
        <v>#N/A</v>
      </c>
    </row>
    <row r="292" spans="6:8" x14ac:dyDescent="0.25">
      <c r="F292" s="2" t="e">
        <f t="shared" si="12"/>
        <v>#N/A</v>
      </c>
      <c r="G292" s="2" t="e">
        <f t="shared" si="13"/>
        <v>#N/A</v>
      </c>
      <c r="H292" s="2" t="e">
        <f t="shared" si="14"/>
        <v>#N/A</v>
      </c>
    </row>
    <row r="293" spans="6:8" x14ac:dyDescent="0.25">
      <c r="F293" s="2" t="e">
        <f t="shared" si="12"/>
        <v>#N/A</v>
      </c>
      <c r="G293" s="2" t="e">
        <f t="shared" si="13"/>
        <v>#N/A</v>
      </c>
      <c r="H293" s="2" t="e">
        <f t="shared" si="14"/>
        <v>#N/A</v>
      </c>
    </row>
    <row r="294" spans="6:8" x14ac:dyDescent="0.25">
      <c r="F294" s="2" t="e">
        <f t="shared" si="12"/>
        <v>#N/A</v>
      </c>
      <c r="G294" s="2" t="e">
        <f t="shared" si="13"/>
        <v>#N/A</v>
      </c>
      <c r="H294" s="2" t="e">
        <f t="shared" si="14"/>
        <v>#N/A</v>
      </c>
    </row>
    <row r="295" spans="6:8" x14ac:dyDescent="0.25">
      <c r="F295" s="2" t="e">
        <f t="shared" si="12"/>
        <v>#N/A</v>
      </c>
      <c r="G295" s="2" t="e">
        <f t="shared" si="13"/>
        <v>#N/A</v>
      </c>
      <c r="H295" s="2" t="e">
        <f t="shared" si="14"/>
        <v>#N/A</v>
      </c>
    </row>
    <row r="296" spans="6:8" x14ac:dyDescent="0.25">
      <c r="F296" s="2" t="e">
        <f t="shared" si="12"/>
        <v>#N/A</v>
      </c>
      <c r="G296" s="2" t="e">
        <f t="shared" si="13"/>
        <v>#N/A</v>
      </c>
      <c r="H296" s="2" t="e">
        <f t="shared" si="14"/>
        <v>#N/A</v>
      </c>
    </row>
    <row r="297" spans="6:8" x14ac:dyDescent="0.25">
      <c r="F297" s="2" t="e">
        <f t="shared" si="12"/>
        <v>#N/A</v>
      </c>
      <c r="G297" s="2" t="e">
        <f t="shared" si="13"/>
        <v>#N/A</v>
      </c>
      <c r="H297" s="2" t="e">
        <f t="shared" si="14"/>
        <v>#N/A</v>
      </c>
    </row>
    <row r="298" spans="6:8" x14ac:dyDescent="0.25">
      <c r="F298" s="2" t="e">
        <f t="shared" si="12"/>
        <v>#N/A</v>
      </c>
      <c r="G298" s="2" t="e">
        <f t="shared" si="13"/>
        <v>#N/A</v>
      </c>
      <c r="H298" s="2" t="e">
        <f t="shared" si="14"/>
        <v>#N/A</v>
      </c>
    </row>
    <row r="299" spans="6:8" x14ac:dyDescent="0.25">
      <c r="F299" s="2" t="e">
        <f t="shared" si="12"/>
        <v>#N/A</v>
      </c>
      <c r="G299" s="2" t="e">
        <f t="shared" si="13"/>
        <v>#N/A</v>
      </c>
      <c r="H299" s="2" t="e">
        <f t="shared" si="14"/>
        <v>#N/A</v>
      </c>
    </row>
    <row r="300" spans="6:8" x14ac:dyDescent="0.25">
      <c r="F300" s="2" t="e">
        <f t="shared" si="12"/>
        <v>#N/A</v>
      </c>
      <c r="G300" s="2" t="e">
        <f t="shared" si="13"/>
        <v>#N/A</v>
      </c>
      <c r="H300" s="2" t="e">
        <f t="shared" si="14"/>
        <v>#N/A</v>
      </c>
    </row>
    <row r="301" spans="6:8" x14ac:dyDescent="0.25">
      <c r="F301" s="2" t="e">
        <f t="shared" si="12"/>
        <v>#N/A</v>
      </c>
      <c r="G301" s="2" t="e">
        <f t="shared" si="13"/>
        <v>#N/A</v>
      </c>
      <c r="H301" s="2" t="e">
        <f t="shared" si="14"/>
        <v>#N/A</v>
      </c>
    </row>
    <row r="302" spans="6:8" x14ac:dyDescent="0.25">
      <c r="F302" s="2" t="e">
        <f t="shared" si="12"/>
        <v>#N/A</v>
      </c>
      <c r="G302" s="2" t="e">
        <f t="shared" si="13"/>
        <v>#N/A</v>
      </c>
      <c r="H302" s="2" t="e">
        <f t="shared" si="14"/>
        <v>#N/A</v>
      </c>
    </row>
    <row r="303" spans="6:8" x14ac:dyDescent="0.25">
      <c r="F303" s="2" t="e">
        <f t="shared" si="12"/>
        <v>#N/A</v>
      </c>
      <c r="G303" s="2" t="e">
        <f t="shared" si="13"/>
        <v>#N/A</v>
      </c>
      <c r="H303" s="2" t="e">
        <f t="shared" si="14"/>
        <v>#N/A</v>
      </c>
    </row>
    <row r="304" spans="6:8" x14ac:dyDescent="0.25">
      <c r="F304" s="2" t="e">
        <f t="shared" si="12"/>
        <v>#N/A</v>
      </c>
      <c r="G304" s="2" t="e">
        <f t="shared" si="13"/>
        <v>#N/A</v>
      </c>
      <c r="H304" s="2" t="e">
        <f t="shared" si="14"/>
        <v>#N/A</v>
      </c>
    </row>
    <row r="305" spans="6:8" x14ac:dyDescent="0.25">
      <c r="F305" s="2" t="e">
        <f t="shared" si="12"/>
        <v>#N/A</v>
      </c>
      <c r="G305" s="2" t="e">
        <f t="shared" si="13"/>
        <v>#N/A</v>
      </c>
      <c r="H305" s="2" t="e">
        <f t="shared" si="14"/>
        <v>#N/A</v>
      </c>
    </row>
    <row r="306" spans="6:8" x14ac:dyDescent="0.25">
      <c r="F306" s="2" t="e">
        <f t="shared" si="12"/>
        <v>#N/A</v>
      </c>
      <c r="G306" s="2" t="e">
        <f t="shared" si="13"/>
        <v>#N/A</v>
      </c>
      <c r="H306" s="2" t="e">
        <f t="shared" si="14"/>
        <v>#N/A</v>
      </c>
    </row>
    <row r="307" spans="6:8" x14ac:dyDescent="0.25">
      <c r="F307" s="2" t="e">
        <f t="shared" si="12"/>
        <v>#N/A</v>
      </c>
      <c r="G307" s="2" t="e">
        <f t="shared" si="13"/>
        <v>#N/A</v>
      </c>
      <c r="H307" s="2" t="e">
        <f t="shared" si="14"/>
        <v>#N/A</v>
      </c>
    </row>
    <row r="308" spans="6:8" x14ac:dyDescent="0.25">
      <c r="F308" s="2" t="e">
        <f t="shared" si="12"/>
        <v>#N/A</v>
      </c>
      <c r="G308" s="2" t="e">
        <f t="shared" si="13"/>
        <v>#N/A</v>
      </c>
      <c r="H308" s="2" t="e">
        <f t="shared" si="14"/>
        <v>#N/A</v>
      </c>
    </row>
    <row r="309" spans="6:8" x14ac:dyDescent="0.25">
      <c r="F309" s="2" t="e">
        <f t="shared" si="12"/>
        <v>#N/A</v>
      </c>
      <c r="G309" s="2" t="e">
        <f t="shared" si="13"/>
        <v>#N/A</v>
      </c>
      <c r="H309" s="2" t="e">
        <f t="shared" si="14"/>
        <v>#N/A</v>
      </c>
    </row>
    <row r="310" spans="6:8" x14ac:dyDescent="0.25">
      <c r="F310" s="2" t="e">
        <f t="shared" si="12"/>
        <v>#N/A</v>
      </c>
      <c r="G310" s="2" t="e">
        <f t="shared" si="13"/>
        <v>#N/A</v>
      </c>
      <c r="H310" s="2" t="e">
        <f t="shared" si="14"/>
        <v>#N/A</v>
      </c>
    </row>
    <row r="311" spans="6:8" x14ac:dyDescent="0.25">
      <c r="F311" s="2" t="e">
        <f t="shared" si="12"/>
        <v>#N/A</v>
      </c>
      <c r="G311" s="2" t="e">
        <f t="shared" si="13"/>
        <v>#N/A</v>
      </c>
      <c r="H311" s="2" t="e">
        <f t="shared" si="14"/>
        <v>#N/A</v>
      </c>
    </row>
    <row r="312" spans="6:8" x14ac:dyDescent="0.25">
      <c r="F312" s="2" t="e">
        <f t="shared" si="12"/>
        <v>#N/A</v>
      </c>
      <c r="G312" s="2" t="e">
        <f t="shared" si="13"/>
        <v>#N/A</v>
      </c>
      <c r="H312" s="2" t="e">
        <f t="shared" si="14"/>
        <v>#N/A</v>
      </c>
    </row>
    <row r="313" spans="6:8" x14ac:dyDescent="0.25">
      <c r="F313" s="2" t="e">
        <f t="shared" si="12"/>
        <v>#N/A</v>
      </c>
      <c r="G313" s="2" t="e">
        <f t="shared" si="13"/>
        <v>#N/A</v>
      </c>
      <c r="H313" s="2" t="e">
        <f t="shared" si="14"/>
        <v>#N/A</v>
      </c>
    </row>
    <row r="314" spans="6:8" x14ac:dyDescent="0.25">
      <c r="F314" s="2" t="e">
        <f t="shared" si="12"/>
        <v>#N/A</v>
      </c>
      <c r="G314" s="2" t="e">
        <f t="shared" si="13"/>
        <v>#N/A</v>
      </c>
      <c r="H314" s="2" t="e">
        <f t="shared" si="14"/>
        <v>#N/A</v>
      </c>
    </row>
    <row r="315" spans="6:8" x14ac:dyDescent="0.25">
      <c r="F315" s="2" t="e">
        <f t="shared" si="12"/>
        <v>#N/A</v>
      </c>
      <c r="G315" s="2" t="e">
        <f t="shared" si="13"/>
        <v>#N/A</v>
      </c>
      <c r="H315" s="2" t="e">
        <f t="shared" si="14"/>
        <v>#N/A</v>
      </c>
    </row>
    <row r="316" spans="6:8" x14ac:dyDescent="0.25">
      <c r="F316" s="2" t="e">
        <f t="shared" si="12"/>
        <v>#N/A</v>
      </c>
      <c r="G316" s="2" t="e">
        <f t="shared" si="13"/>
        <v>#N/A</v>
      </c>
      <c r="H316" s="2" t="e">
        <f t="shared" si="14"/>
        <v>#N/A</v>
      </c>
    </row>
    <row r="317" spans="6:8" x14ac:dyDescent="0.25">
      <c r="F317" s="2" t="e">
        <f t="shared" si="12"/>
        <v>#N/A</v>
      </c>
      <c r="G317" s="2" t="e">
        <f t="shared" si="13"/>
        <v>#N/A</v>
      </c>
      <c r="H317" s="2" t="e">
        <f t="shared" si="14"/>
        <v>#N/A</v>
      </c>
    </row>
    <row r="318" spans="6:8" x14ac:dyDescent="0.25">
      <c r="F318" s="2" t="e">
        <f t="shared" si="12"/>
        <v>#N/A</v>
      </c>
      <c r="G318" s="2" t="e">
        <f t="shared" si="13"/>
        <v>#N/A</v>
      </c>
      <c r="H318" s="2" t="e">
        <f t="shared" si="14"/>
        <v>#N/A</v>
      </c>
    </row>
    <row r="319" spans="6:8" x14ac:dyDescent="0.25">
      <c r="F319" s="2" t="e">
        <f t="shared" si="12"/>
        <v>#N/A</v>
      </c>
      <c r="G319" s="2" t="e">
        <f t="shared" si="13"/>
        <v>#N/A</v>
      </c>
      <c r="H319" s="2" t="e">
        <f t="shared" si="14"/>
        <v>#N/A</v>
      </c>
    </row>
    <row r="320" spans="6:8" x14ac:dyDescent="0.25">
      <c r="F320" s="2" t="e">
        <f t="shared" si="12"/>
        <v>#N/A</v>
      </c>
      <c r="G320" s="2" t="e">
        <f t="shared" si="13"/>
        <v>#N/A</v>
      </c>
      <c r="H320" s="2" t="e">
        <f t="shared" si="14"/>
        <v>#N/A</v>
      </c>
    </row>
    <row r="321" spans="6:8" x14ac:dyDescent="0.25">
      <c r="F321" s="2" t="e">
        <f t="shared" si="12"/>
        <v>#N/A</v>
      </c>
      <c r="G321" s="2" t="e">
        <f t="shared" si="13"/>
        <v>#N/A</v>
      </c>
      <c r="H321" s="2" t="e">
        <f t="shared" si="14"/>
        <v>#N/A</v>
      </c>
    </row>
    <row r="322" spans="6:8" x14ac:dyDescent="0.25">
      <c r="F322" s="2" t="e">
        <f t="shared" si="12"/>
        <v>#N/A</v>
      </c>
      <c r="G322" s="2" t="e">
        <f t="shared" si="13"/>
        <v>#N/A</v>
      </c>
      <c r="H322" s="2" t="e">
        <f t="shared" si="14"/>
        <v>#N/A</v>
      </c>
    </row>
    <row r="323" spans="6:8" x14ac:dyDescent="0.25">
      <c r="F323" s="2" t="e">
        <f t="shared" si="12"/>
        <v>#N/A</v>
      </c>
      <c r="G323" s="2" t="e">
        <f t="shared" si="13"/>
        <v>#N/A</v>
      </c>
      <c r="H323" s="2" t="e">
        <f t="shared" si="14"/>
        <v>#N/A</v>
      </c>
    </row>
    <row r="324" spans="6:8" x14ac:dyDescent="0.25">
      <c r="F324" s="2" t="e">
        <f t="shared" si="12"/>
        <v>#N/A</v>
      </c>
      <c r="G324" s="2" t="e">
        <f t="shared" si="13"/>
        <v>#N/A</v>
      </c>
      <c r="H324" s="2" t="e">
        <f t="shared" si="14"/>
        <v>#N/A</v>
      </c>
    </row>
    <row r="325" spans="6:8" x14ac:dyDescent="0.25">
      <c r="F325" s="2" t="e">
        <f t="shared" si="12"/>
        <v>#N/A</v>
      </c>
      <c r="G325" s="2" t="e">
        <f t="shared" si="13"/>
        <v>#N/A</v>
      </c>
      <c r="H325" s="2" t="e">
        <f t="shared" si="14"/>
        <v>#N/A</v>
      </c>
    </row>
    <row r="326" spans="6:8" x14ac:dyDescent="0.25">
      <c r="F326" s="2" t="e">
        <f t="shared" ref="F326:F389" si="15">IF(F325&lt;2,F325+$D$6,NA())</f>
        <v>#N/A</v>
      </c>
      <c r="G326" s="2" t="e">
        <f t="shared" ref="G326:G389" si="16">IF(ISNA(F326), NA(),(1+$D$3*$D$6)*G325+$D$6*$D$4)</f>
        <v>#N/A</v>
      </c>
      <c r="H326" s="2" t="e">
        <f t="shared" ref="H326:H389" si="17">IF(ISNA(G326),NA(),$D$7*EXP($D$3*F326)-($D$4/$D$3))</f>
        <v>#N/A</v>
      </c>
    </row>
    <row r="327" spans="6:8" x14ac:dyDescent="0.25">
      <c r="F327" s="2" t="e">
        <f t="shared" si="15"/>
        <v>#N/A</v>
      </c>
      <c r="G327" s="2" t="e">
        <f t="shared" si="16"/>
        <v>#N/A</v>
      </c>
      <c r="H327" s="2" t="e">
        <f t="shared" si="17"/>
        <v>#N/A</v>
      </c>
    </row>
    <row r="328" spans="6:8" x14ac:dyDescent="0.25">
      <c r="F328" s="2" t="e">
        <f t="shared" si="15"/>
        <v>#N/A</v>
      </c>
      <c r="G328" s="2" t="e">
        <f t="shared" si="16"/>
        <v>#N/A</v>
      </c>
      <c r="H328" s="2" t="e">
        <f t="shared" si="17"/>
        <v>#N/A</v>
      </c>
    </row>
    <row r="329" spans="6:8" x14ac:dyDescent="0.25">
      <c r="F329" s="2" t="e">
        <f t="shared" si="15"/>
        <v>#N/A</v>
      </c>
      <c r="G329" s="2" t="e">
        <f t="shared" si="16"/>
        <v>#N/A</v>
      </c>
      <c r="H329" s="2" t="e">
        <f t="shared" si="17"/>
        <v>#N/A</v>
      </c>
    </row>
    <row r="330" spans="6:8" x14ac:dyDescent="0.25">
      <c r="F330" s="2" t="e">
        <f t="shared" si="15"/>
        <v>#N/A</v>
      </c>
      <c r="G330" s="2" t="e">
        <f t="shared" si="16"/>
        <v>#N/A</v>
      </c>
      <c r="H330" s="2" t="e">
        <f t="shared" si="17"/>
        <v>#N/A</v>
      </c>
    </row>
    <row r="331" spans="6:8" x14ac:dyDescent="0.25">
      <c r="F331" s="2" t="e">
        <f t="shared" si="15"/>
        <v>#N/A</v>
      </c>
      <c r="G331" s="2" t="e">
        <f t="shared" si="16"/>
        <v>#N/A</v>
      </c>
      <c r="H331" s="2" t="e">
        <f t="shared" si="17"/>
        <v>#N/A</v>
      </c>
    </row>
    <row r="332" spans="6:8" x14ac:dyDescent="0.25">
      <c r="F332" s="2" t="e">
        <f t="shared" si="15"/>
        <v>#N/A</v>
      </c>
      <c r="G332" s="2" t="e">
        <f t="shared" si="16"/>
        <v>#N/A</v>
      </c>
      <c r="H332" s="2" t="e">
        <f t="shared" si="17"/>
        <v>#N/A</v>
      </c>
    </row>
    <row r="333" spans="6:8" x14ac:dyDescent="0.25">
      <c r="F333" s="2" t="e">
        <f t="shared" si="15"/>
        <v>#N/A</v>
      </c>
      <c r="G333" s="2" t="e">
        <f t="shared" si="16"/>
        <v>#N/A</v>
      </c>
      <c r="H333" s="2" t="e">
        <f t="shared" si="17"/>
        <v>#N/A</v>
      </c>
    </row>
    <row r="334" spans="6:8" x14ac:dyDescent="0.25">
      <c r="F334" s="2" t="e">
        <f t="shared" si="15"/>
        <v>#N/A</v>
      </c>
      <c r="G334" s="2" t="e">
        <f t="shared" si="16"/>
        <v>#N/A</v>
      </c>
      <c r="H334" s="2" t="e">
        <f t="shared" si="17"/>
        <v>#N/A</v>
      </c>
    </row>
    <row r="335" spans="6:8" x14ac:dyDescent="0.25">
      <c r="F335" s="2" t="e">
        <f t="shared" si="15"/>
        <v>#N/A</v>
      </c>
      <c r="G335" s="2" t="e">
        <f t="shared" si="16"/>
        <v>#N/A</v>
      </c>
      <c r="H335" s="2" t="e">
        <f t="shared" si="17"/>
        <v>#N/A</v>
      </c>
    </row>
    <row r="336" spans="6:8" x14ac:dyDescent="0.25">
      <c r="F336" s="2" t="e">
        <f t="shared" si="15"/>
        <v>#N/A</v>
      </c>
      <c r="G336" s="2" t="e">
        <f t="shared" si="16"/>
        <v>#N/A</v>
      </c>
      <c r="H336" s="2" t="e">
        <f t="shared" si="17"/>
        <v>#N/A</v>
      </c>
    </row>
    <row r="337" spans="6:8" x14ac:dyDescent="0.25">
      <c r="F337" s="2" t="e">
        <f t="shared" si="15"/>
        <v>#N/A</v>
      </c>
      <c r="G337" s="2" t="e">
        <f t="shared" si="16"/>
        <v>#N/A</v>
      </c>
      <c r="H337" s="2" t="e">
        <f t="shared" si="17"/>
        <v>#N/A</v>
      </c>
    </row>
    <row r="338" spans="6:8" x14ac:dyDescent="0.25">
      <c r="F338" s="2" t="e">
        <f t="shared" si="15"/>
        <v>#N/A</v>
      </c>
      <c r="G338" s="2" t="e">
        <f t="shared" si="16"/>
        <v>#N/A</v>
      </c>
      <c r="H338" s="2" t="e">
        <f t="shared" si="17"/>
        <v>#N/A</v>
      </c>
    </row>
    <row r="339" spans="6:8" x14ac:dyDescent="0.25">
      <c r="F339" s="2" t="e">
        <f t="shared" si="15"/>
        <v>#N/A</v>
      </c>
      <c r="G339" s="2" t="e">
        <f t="shared" si="16"/>
        <v>#N/A</v>
      </c>
      <c r="H339" s="2" t="e">
        <f t="shared" si="17"/>
        <v>#N/A</v>
      </c>
    </row>
    <row r="340" spans="6:8" x14ac:dyDescent="0.25">
      <c r="F340" s="2" t="e">
        <f t="shared" si="15"/>
        <v>#N/A</v>
      </c>
      <c r="G340" s="2" t="e">
        <f t="shared" si="16"/>
        <v>#N/A</v>
      </c>
      <c r="H340" s="2" t="e">
        <f t="shared" si="17"/>
        <v>#N/A</v>
      </c>
    </row>
    <row r="341" spans="6:8" x14ac:dyDescent="0.25">
      <c r="F341" s="2" t="e">
        <f t="shared" si="15"/>
        <v>#N/A</v>
      </c>
      <c r="G341" s="2" t="e">
        <f t="shared" si="16"/>
        <v>#N/A</v>
      </c>
      <c r="H341" s="2" t="e">
        <f t="shared" si="17"/>
        <v>#N/A</v>
      </c>
    </row>
    <row r="342" spans="6:8" x14ac:dyDescent="0.25">
      <c r="F342" s="2" t="e">
        <f t="shared" si="15"/>
        <v>#N/A</v>
      </c>
      <c r="G342" s="2" t="e">
        <f t="shared" si="16"/>
        <v>#N/A</v>
      </c>
      <c r="H342" s="2" t="e">
        <f t="shared" si="17"/>
        <v>#N/A</v>
      </c>
    </row>
    <row r="343" spans="6:8" x14ac:dyDescent="0.25">
      <c r="F343" s="2" t="e">
        <f t="shared" si="15"/>
        <v>#N/A</v>
      </c>
      <c r="G343" s="2" t="e">
        <f t="shared" si="16"/>
        <v>#N/A</v>
      </c>
      <c r="H343" s="2" t="e">
        <f t="shared" si="17"/>
        <v>#N/A</v>
      </c>
    </row>
    <row r="344" spans="6:8" x14ac:dyDescent="0.25">
      <c r="F344" s="2" t="e">
        <f t="shared" si="15"/>
        <v>#N/A</v>
      </c>
      <c r="G344" s="2" t="e">
        <f t="shared" si="16"/>
        <v>#N/A</v>
      </c>
      <c r="H344" s="2" t="e">
        <f t="shared" si="17"/>
        <v>#N/A</v>
      </c>
    </row>
    <row r="345" spans="6:8" x14ac:dyDescent="0.25">
      <c r="F345" s="2" t="e">
        <f t="shared" si="15"/>
        <v>#N/A</v>
      </c>
      <c r="G345" s="2" t="e">
        <f t="shared" si="16"/>
        <v>#N/A</v>
      </c>
      <c r="H345" s="2" t="e">
        <f t="shared" si="17"/>
        <v>#N/A</v>
      </c>
    </row>
    <row r="346" spans="6:8" x14ac:dyDescent="0.25">
      <c r="F346" s="2" t="e">
        <f t="shared" si="15"/>
        <v>#N/A</v>
      </c>
      <c r="G346" s="2" t="e">
        <f t="shared" si="16"/>
        <v>#N/A</v>
      </c>
      <c r="H346" s="2" t="e">
        <f t="shared" si="17"/>
        <v>#N/A</v>
      </c>
    </row>
    <row r="347" spans="6:8" x14ac:dyDescent="0.25">
      <c r="F347" s="2" t="e">
        <f t="shared" si="15"/>
        <v>#N/A</v>
      </c>
      <c r="G347" s="2" t="e">
        <f t="shared" si="16"/>
        <v>#N/A</v>
      </c>
      <c r="H347" s="2" t="e">
        <f t="shared" si="17"/>
        <v>#N/A</v>
      </c>
    </row>
    <row r="348" spans="6:8" x14ac:dyDescent="0.25">
      <c r="F348" s="2" t="e">
        <f t="shared" si="15"/>
        <v>#N/A</v>
      </c>
      <c r="G348" s="2" t="e">
        <f t="shared" si="16"/>
        <v>#N/A</v>
      </c>
      <c r="H348" s="2" t="e">
        <f t="shared" si="17"/>
        <v>#N/A</v>
      </c>
    </row>
    <row r="349" spans="6:8" x14ac:dyDescent="0.25">
      <c r="F349" s="2" t="e">
        <f t="shared" si="15"/>
        <v>#N/A</v>
      </c>
      <c r="G349" s="2" t="e">
        <f t="shared" si="16"/>
        <v>#N/A</v>
      </c>
      <c r="H349" s="2" t="e">
        <f t="shared" si="17"/>
        <v>#N/A</v>
      </c>
    </row>
    <row r="350" spans="6:8" x14ac:dyDescent="0.25">
      <c r="F350" s="2" t="e">
        <f t="shared" si="15"/>
        <v>#N/A</v>
      </c>
      <c r="G350" s="2" t="e">
        <f t="shared" si="16"/>
        <v>#N/A</v>
      </c>
      <c r="H350" s="2" t="e">
        <f t="shared" si="17"/>
        <v>#N/A</v>
      </c>
    </row>
    <row r="351" spans="6:8" x14ac:dyDescent="0.25">
      <c r="F351" s="2" t="e">
        <f t="shared" si="15"/>
        <v>#N/A</v>
      </c>
      <c r="G351" s="2" t="e">
        <f t="shared" si="16"/>
        <v>#N/A</v>
      </c>
      <c r="H351" s="2" t="e">
        <f t="shared" si="17"/>
        <v>#N/A</v>
      </c>
    </row>
    <row r="352" spans="6:8" x14ac:dyDescent="0.25">
      <c r="F352" s="2" t="e">
        <f t="shared" si="15"/>
        <v>#N/A</v>
      </c>
      <c r="G352" s="2" t="e">
        <f t="shared" si="16"/>
        <v>#N/A</v>
      </c>
      <c r="H352" s="2" t="e">
        <f t="shared" si="17"/>
        <v>#N/A</v>
      </c>
    </row>
    <row r="353" spans="6:8" x14ac:dyDescent="0.25">
      <c r="F353" s="2" t="e">
        <f t="shared" si="15"/>
        <v>#N/A</v>
      </c>
      <c r="G353" s="2" t="e">
        <f t="shared" si="16"/>
        <v>#N/A</v>
      </c>
      <c r="H353" s="2" t="e">
        <f t="shared" si="17"/>
        <v>#N/A</v>
      </c>
    </row>
    <row r="354" spans="6:8" x14ac:dyDescent="0.25">
      <c r="F354" s="2" t="e">
        <f t="shared" si="15"/>
        <v>#N/A</v>
      </c>
      <c r="G354" s="2" t="e">
        <f t="shared" si="16"/>
        <v>#N/A</v>
      </c>
      <c r="H354" s="2" t="e">
        <f t="shared" si="17"/>
        <v>#N/A</v>
      </c>
    </row>
    <row r="355" spans="6:8" x14ac:dyDescent="0.25">
      <c r="F355" s="2" t="e">
        <f t="shared" si="15"/>
        <v>#N/A</v>
      </c>
      <c r="G355" s="2" t="e">
        <f t="shared" si="16"/>
        <v>#N/A</v>
      </c>
      <c r="H355" s="2" t="e">
        <f t="shared" si="17"/>
        <v>#N/A</v>
      </c>
    </row>
    <row r="356" spans="6:8" x14ac:dyDescent="0.25">
      <c r="F356" s="2" t="e">
        <f t="shared" si="15"/>
        <v>#N/A</v>
      </c>
      <c r="G356" s="2" t="e">
        <f t="shared" si="16"/>
        <v>#N/A</v>
      </c>
      <c r="H356" s="2" t="e">
        <f t="shared" si="17"/>
        <v>#N/A</v>
      </c>
    </row>
    <row r="357" spans="6:8" x14ac:dyDescent="0.25">
      <c r="F357" s="2" t="e">
        <f t="shared" si="15"/>
        <v>#N/A</v>
      </c>
      <c r="G357" s="2" t="e">
        <f t="shared" si="16"/>
        <v>#N/A</v>
      </c>
      <c r="H357" s="2" t="e">
        <f t="shared" si="17"/>
        <v>#N/A</v>
      </c>
    </row>
    <row r="358" spans="6:8" x14ac:dyDescent="0.25">
      <c r="F358" s="2" t="e">
        <f t="shared" si="15"/>
        <v>#N/A</v>
      </c>
      <c r="G358" s="2" t="e">
        <f t="shared" si="16"/>
        <v>#N/A</v>
      </c>
      <c r="H358" s="2" t="e">
        <f t="shared" si="17"/>
        <v>#N/A</v>
      </c>
    </row>
    <row r="359" spans="6:8" x14ac:dyDescent="0.25">
      <c r="F359" s="2" t="e">
        <f t="shared" si="15"/>
        <v>#N/A</v>
      </c>
      <c r="G359" s="2" t="e">
        <f t="shared" si="16"/>
        <v>#N/A</v>
      </c>
      <c r="H359" s="2" t="e">
        <f t="shared" si="17"/>
        <v>#N/A</v>
      </c>
    </row>
    <row r="360" spans="6:8" x14ac:dyDescent="0.25">
      <c r="F360" s="2" t="e">
        <f t="shared" si="15"/>
        <v>#N/A</v>
      </c>
      <c r="G360" s="2" t="e">
        <f t="shared" si="16"/>
        <v>#N/A</v>
      </c>
      <c r="H360" s="2" t="e">
        <f t="shared" si="17"/>
        <v>#N/A</v>
      </c>
    </row>
    <row r="361" spans="6:8" x14ac:dyDescent="0.25">
      <c r="F361" s="2" t="e">
        <f t="shared" si="15"/>
        <v>#N/A</v>
      </c>
      <c r="G361" s="2" t="e">
        <f t="shared" si="16"/>
        <v>#N/A</v>
      </c>
      <c r="H361" s="2" t="e">
        <f t="shared" si="17"/>
        <v>#N/A</v>
      </c>
    </row>
    <row r="362" spans="6:8" x14ac:dyDescent="0.25">
      <c r="F362" s="2" t="e">
        <f t="shared" si="15"/>
        <v>#N/A</v>
      </c>
      <c r="G362" s="2" t="e">
        <f t="shared" si="16"/>
        <v>#N/A</v>
      </c>
      <c r="H362" s="2" t="e">
        <f t="shared" si="17"/>
        <v>#N/A</v>
      </c>
    </row>
    <row r="363" spans="6:8" x14ac:dyDescent="0.25">
      <c r="F363" s="2" t="e">
        <f t="shared" si="15"/>
        <v>#N/A</v>
      </c>
      <c r="G363" s="2" t="e">
        <f t="shared" si="16"/>
        <v>#N/A</v>
      </c>
      <c r="H363" s="2" t="e">
        <f t="shared" si="17"/>
        <v>#N/A</v>
      </c>
    </row>
    <row r="364" spans="6:8" x14ac:dyDescent="0.25">
      <c r="F364" s="2" t="e">
        <f t="shared" si="15"/>
        <v>#N/A</v>
      </c>
      <c r="G364" s="2" t="e">
        <f t="shared" si="16"/>
        <v>#N/A</v>
      </c>
      <c r="H364" s="2" t="e">
        <f t="shared" si="17"/>
        <v>#N/A</v>
      </c>
    </row>
    <row r="365" spans="6:8" x14ac:dyDescent="0.25">
      <c r="F365" s="2" t="e">
        <f t="shared" si="15"/>
        <v>#N/A</v>
      </c>
      <c r="G365" s="2" t="e">
        <f t="shared" si="16"/>
        <v>#N/A</v>
      </c>
      <c r="H365" s="2" t="e">
        <f t="shared" si="17"/>
        <v>#N/A</v>
      </c>
    </row>
    <row r="366" spans="6:8" x14ac:dyDescent="0.25">
      <c r="F366" s="2" t="e">
        <f t="shared" si="15"/>
        <v>#N/A</v>
      </c>
      <c r="G366" s="2" t="e">
        <f t="shared" si="16"/>
        <v>#N/A</v>
      </c>
      <c r="H366" s="2" t="e">
        <f t="shared" si="17"/>
        <v>#N/A</v>
      </c>
    </row>
    <row r="367" spans="6:8" x14ac:dyDescent="0.25">
      <c r="F367" s="2" t="e">
        <f t="shared" si="15"/>
        <v>#N/A</v>
      </c>
      <c r="G367" s="2" t="e">
        <f t="shared" si="16"/>
        <v>#N/A</v>
      </c>
      <c r="H367" s="2" t="e">
        <f t="shared" si="17"/>
        <v>#N/A</v>
      </c>
    </row>
    <row r="368" spans="6:8" x14ac:dyDescent="0.25">
      <c r="F368" s="2" t="e">
        <f t="shared" si="15"/>
        <v>#N/A</v>
      </c>
      <c r="G368" s="2" t="e">
        <f t="shared" si="16"/>
        <v>#N/A</v>
      </c>
      <c r="H368" s="2" t="e">
        <f t="shared" si="17"/>
        <v>#N/A</v>
      </c>
    </row>
    <row r="369" spans="6:8" x14ac:dyDescent="0.25">
      <c r="F369" s="2" t="e">
        <f t="shared" si="15"/>
        <v>#N/A</v>
      </c>
      <c r="G369" s="2" t="e">
        <f t="shared" si="16"/>
        <v>#N/A</v>
      </c>
      <c r="H369" s="2" t="e">
        <f t="shared" si="17"/>
        <v>#N/A</v>
      </c>
    </row>
    <row r="370" spans="6:8" x14ac:dyDescent="0.25">
      <c r="F370" s="2" t="e">
        <f t="shared" si="15"/>
        <v>#N/A</v>
      </c>
      <c r="G370" s="2" t="e">
        <f t="shared" si="16"/>
        <v>#N/A</v>
      </c>
      <c r="H370" s="2" t="e">
        <f t="shared" si="17"/>
        <v>#N/A</v>
      </c>
    </row>
    <row r="371" spans="6:8" x14ac:dyDescent="0.25">
      <c r="F371" s="2" t="e">
        <f t="shared" si="15"/>
        <v>#N/A</v>
      </c>
      <c r="G371" s="2" t="e">
        <f t="shared" si="16"/>
        <v>#N/A</v>
      </c>
      <c r="H371" s="2" t="e">
        <f t="shared" si="17"/>
        <v>#N/A</v>
      </c>
    </row>
    <row r="372" spans="6:8" x14ac:dyDescent="0.25">
      <c r="F372" s="2" t="e">
        <f t="shared" si="15"/>
        <v>#N/A</v>
      </c>
      <c r="G372" s="2" t="e">
        <f t="shared" si="16"/>
        <v>#N/A</v>
      </c>
      <c r="H372" s="2" t="e">
        <f t="shared" si="17"/>
        <v>#N/A</v>
      </c>
    </row>
    <row r="373" spans="6:8" x14ac:dyDescent="0.25">
      <c r="F373" s="2" t="e">
        <f t="shared" si="15"/>
        <v>#N/A</v>
      </c>
      <c r="G373" s="2" t="e">
        <f t="shared" si="16"/>
        <v>#N/A</v>
      </c>
      <c r="H373" s="2" t="e">
        <f t="shared" si="17"/>
        <v>#N/A</v>
      </c>
    </row>
    <row r="374" spans="6:8" x14ac:dyDescent="0.25">
      <c r="F374" s="2" t="e">
        <f t="shared" si="15"/>
        <v>#N/A</v>
      </c>
      <c r="G374" s="2" t="e">
        <f t="shared" si="16"/>
        <v>#N/A</v>
      </c>
      <c r="H374" s="2" t="e">
        <f t="shared" si="17"/>
        <v>#N/A</v>
      </c>
    </row>
    <row r="375" spans="6:8" x14ac:dyDescent="0.25">
      <c r="F375" s="2" t="e">
        <f t="shared" si="15"/>
        <v>#N/A</v>
      </c>
      <c r="G375" s="2" t="e">
        <f t="shared" si="16"/>
        <v>#N/A</v>
      </c>
      <c r="H375" s="2" t="e">
        <f t="shared" si="17"/>
        <v>#N/A</v>
      </c>
    </row>
    <row r="376" spans="6:8" x14ac:dyDescent="0.25">
      <c r="F376" s="2" t="e">
        <f t="shared" si="15"/>
        <v>#N/A</v>
      </c>
      <c r="G376" s="2" t="e">
        <f t="shared" si="16"/>
        <v>#N/A</v>
      </c>
      <c r="H376" s="2" t="e">
        <f t="shared" si="17"/>
        <v>#N/A</v>
      </c>
    </row>
    <row r="377" spans="6:8" x14ac:dyDescent="0.25">
      <c r="F377" s="2" t="e">
        <f t="shared" si="15"/>
        <v>#N/A</v>
      </c>
      <c r="G377" s="2" t="e">
        <f t="shared" si="16"/>
        <v>#N/A</v>
      </c>
      <c r="H377" s="2" t="e">
        <f t="shared" si="17"/>
        <v>#N/A</v>
      </c>
    </row>
    <row r="378" spans="6:8" x14ac:dyDescent="0.25">
      <c r="F378" s="2" t="e">
        <f t="shared" si="15"/>
        <v>#N/A</v>
      </c>
      <c r="G378" s="2" t="e">
        <f t="shared" si="16"/>
        <v>#N/A</v>
      </c>
      <c r="H378" s="2" t="e">
        <f t="shared" si="17"/>
        <v>#N/A</v>
      </c>
    </row>
    <row r="379" spans="6:8" x14ac:dyDescent="0.25">
      <c r="F379" s="2" t="e">
        <f t="shared" si="15"/>
        <v>#N/A</v>
      </c>
      <c r="G379" s="2" t="e">
        <f t="shared" si="16"/>
        <v>#N/A</v>
      </c>
      <c r="H379" s="2" t="e">
        <f t="shared" si="17"/>
        <v>#N/A</v>
      </c>
    </row>
    <row r="380" spans="6:8" x14ac:dyDescent="0.25">
      <c r="F380" s="2" t="e">
        <f t="shared" si="15"/>
        <v>#N/A</v>
      </c>
      <c r="G380" s="2" t="e">
        <f t="shared" si="16"/>
        <v>#N/A</v>
      </c>
      <c r="H380" s="2" t="e">
        <f t="shared" si="17"/>
        <v>#N/A</v>
      </c>
    </row>
    <row r="381" spans="6:8" x14ac:dyDescent="0.25">
      <c r="F381" s="2" t="e">
        <f t="shared" si="15"/>
        <v>#N/A</v>
      </c>
      <c r="G381" s="2" t="e">
        <f t="shared" si="16"/>
        <v>#N/A</v>
      </c>
      <c r="H381" s="2" t="e">
        <f t="shared" si="17"/>
        <v>#N/A</v>
      </c>
    </row>
    <row r="382" spans="6:8" x14ac:dyDescent="0.25">
      <c r="F382" s="2" t="e">
        <f t="shared" si="15"/>
        <v>#N/A</v>
      </c>
      <c r="G382" s="2" t="e">
        <f t="shared" si="16"/>
        <v>#N/A</v>
      </c>
      <c r="H382" s="2" t="e">
        <f t="shared" si="17"/>
        <v>#N/A</v>
      </c>
    </row>
    <row r="383" spans="6:8" x14ac:dyDescent="0.25">
      <c r="F383" s="2" t="e">
        <f t="shared" si="15"/>
        <v>#N/A</v>
      </c>
      <c r="G383" s="2" t="e">
        <f t="shared" si="16"/>
        <v>#N/A</v>
      </c>
      <c r="H383" s="2" t="e">
        <f t="shared" si="17"/>
        <v>#N/A</v>
      </c>
    </row>
    <row r="384" spans="6:8" x14ac:dyDescent="0.25">
      <c r="F384" s="2" t="e">
        <f t="shared" si="15"/>
        <v>#N/A</v>
      </c>
      <c r="G384" s="2" t="e">
        <f t="shared" si="16"/>
        <v>#N/A</v>
      </c>
      <c r="H384" s="2" t="e">
        <f t="shared" si="17"/>
        <v>#N/A</v>
      </c>
    </row>
    <row r="385" spans="6:8" x14ac:dyDescent="0.25">
      <c r="F385" s="2" t="e">
        <f t="shared" si="15"/>
        <v>#N/A</v>
      </c>
      <c r="G385" s="2" t="e">
        <f t="shared" si="16"/>
        <v>#N/A</v>
      </c>
      <c r="H385" s="2" t="e">
        <f t="shared" si="17"/>
        <v>#N/A</v>
      </c>
    </row>
    <row r="386" spans="6:8" x14ac:dyDescent="0.25">
      <c r="F386" s="2" t="e">
        <f t="shared" si="15"/>
        <v>#N/A</v>
      </c>
      <c r="G386" s="2" t="e">
        <f t="shared" si="16"/>
        <v>#N/A</v>
      </c>
      <c r="H386" s="2" t="e">
        <f t="shared" si="17"/>
        <v>#N/A</v>
      </c>
    </row>
    <row r="387" spans="6:8" x14ac:dyDescent="0.25">
      <c r="F387" s="2" t="e">
        <f t="shared" si="15"/>
        <v>#N/A</v>
      </c>
      <c r="G387" s="2" t="e">
        <f t="shared" si="16"/>
        <v>#N/A</v>
      </c>
      <c r="H387" s="2" t="e">
        <f t="shared" si="17"/>
        <v>#N/A</v>
      </c>
    </row>
    <row r="388" spans="6:8" x14ac:dyDescent="0.25">
      <c r="F388" s="2" t="e">
        <f t="shared" si="15"/>
        <v>#N/A</v>
      </c>
      <c r="G388" s="2" t="e">
        <f t="shared" si="16"/>
        <v>#N/A</v>
      </c>
      <c r="H388" s="2" t="e">
        <f t="shared" si="17"/>
        <v>#N/A</v>
      </c>
    </row>
    <row r="389" spans="6:8" x14ac:dyDescent="0.25">
      <c r="F389" s="2" t="e">
        <f t="shared" si="15"/>
        <v>#N/A</v>
      </c>
      <c r="G389" s="2" t="e">
        <f t="shared" si="16"/>
        <v>#N/A</v>
      </c>
      <c r="H389" s="2" t="e">
        <f t="shared" si="17"/>
        <v>#N/A</v>
      </c>
    </row>
    <row r="390" spans="6:8" x14ac:dyDescent="0.25">
      <c r="F390" s="2" t="e">
        <f t="shared" ref="F390:F453" si="18">IF(F389&lt;2,F389+$D$6,NA())</f>
        <v>#N/A</v>
      </c>
      <c r="G390" s="2" t="e">
        <f t="shared" ref="G390:G453" si="19">IF(ISNA(F390), NA(),(1+$D$3*$D$6)*G389+$D$6*$D$4)</f>
        <v>#N/A</v>
      </c>
      <c r="H390" s="2" t="e">
        <f t="shared" ref="H390:H453" si="20">IF(ISNA(G390),NA(),$D$7*EXP($D$3*F390)-($D$4/$D$3))</f>
        <v>#N/A</v>
      </c>
    </row>
    <row r="391" spans="6:8" x14ac:dyDescent="0.25">
      <c r="F391" s="2" t="e">
        <f t="shared" si="18"/>
        <v>#N/A</v>
      </c>
      <c r="G391" s="2" t="e">
        <f t="shared" si="19"/>
        <v>#N/A</v>
      </c>
      <c r="H391" s="2" t="e">
        <f t="shared" si="20"/>
        <v>#N/A</v>
      </c>
    </row>
    <row r="392" spans="6:8" x14ac:dyDescent="0.25">
      <c r="F392" s="2" t="e">
        <f t="shared" si="18"/>
        <v>#N/A</v>
      </c>
      <c r="G392" s="2" t="e">
        <f t="shared" si="19"/>
        <v>#N/A</v>
      </c>
      <c r="H392" s="2" t="e">
        <f t="shared" si="20"/>
        <v>#N/A</v>
      </c>
    </row>
    <row r="393" spans="6:8" x14ac:dyDescent="0.25">
      <c r="F393" s="2" t="e">
        <f t="shared" si="18"/>
        <v>#N/A</v>
      </c>
      <c r="G393" s="2" t="e">
        <f t="shared" si="19"/>
        <v>#N/A</v>
      </c>
      <c r="H393" s="2" t="e">
        <f t="shared" si="20"/>
        <v>#N/A</v>
      </c>
    </row>
    <row r="394" spans="6:8" x14ac:dyDescent="0.25">
      <c r="F394" s="2" t="e">
        <f t="shared" si="18"/>
        <v>#N/A</v>
      </c>
      <c r="G394" s="2" t="e">
        <f t="shared" si="19"/>
        <v>#N/A</v>
      </c>
      <c r="H394" s="2" t="e">
        <f t="shared" si="20"/>
        <v>#N/A</v>
      </c>
    </row>
    <row r="395" spans="6:8" x14ac:dyDescent="0.25">
      <c r="F395" s="2" t="e">
        <f t="shared" si="18"/>
        <v>#N/A</v>
      </c>
      <c r="G395" s="2" t="e">
        <f t="shared" si="19"/>
        <v>#N/A</v>
      </c>
      <c r="H395" s="2" t="e">
        <f t="shared" si="20"/>
        <v>#N/A</v>
      </c>
    </row>
    <row r="396" spans="6:8" x14ac:dyDescent="0.25">
      <c r="F396" s="2" t="e">
        <f t="shared" si="18"/>
        <v>#N/A</v>
      </c>
      <c r="G396" s="2" t="e">
        <f t="shared" si="19"/>
        <v>#N/A</v>
      </c>
      <c r="H396" s="2" t="e">
        <f t="shared" si="20"/>
        <v>#N/A</v>
      </c>
    </row>
    <row r="397" spans="6:8" x14ac:dyDescent="0.25">
      <c r="F397" s="2" t="e">
        <f t="shared" si="18"/>
        <v>#N/A</v>
      </c>
      <c r="G397" s="2" t="e">
        <f t="shared" si="19"/>
        <v>#N/A</v>
      </c>
      <c r="H397" s="2" t="e">
        <f t="shared" si="20"/>
        <v>#N/A</v>
      </c>
    </row>
    <row r="398" spans="6:8" x14ac:dyDescent="0.25">
      <c r="F398" s="2" t="e">
        <f t="shared" si="18"/>
        <v>#N/A</v>
      </c>
      <c r="G398" s="2" t="e">
        <f t="shared" si="19"/>
        <v>#N/A</v>
      </c>
      <c r="H398" s="2" t="e">
        <f t="shared" si="20"/>
        <v>#N/A</v>
      </c>
    </row>
    <row r="399" spans="6:8" x14ac:dyDescent="0.25">
      <c r="F399" s="2" t="e">
        <f t="shared" si="18"/>
        <v>#N/A</v>
      </c>
      <c r="G399" s="2" t="e">
        <f t="shared" si="19"/>
        <v>#N/A</v>
      </c>
      <c r="H399" s="2" t="e">
        <f t="shared" si="20"/>
        <v>#N/A</v>
      </c>
    </row>
    <row r="400" spans="6:8" x14ac:dyDescent="0.25">
      <c r="F400" s="2" t="e">
        <f t="shared" si="18"/>
        <v>#N/A</v>
      </c>
      <c r="G400" s="2" t="e">
        <f t="shared" si="19"/>
        <v>#N/A</v>
      </c>
      <c r="H400" s="2" t="e">
        <f t="shared" si="20"/>
        <v>#N/A</v>
      </c>
    </row>
    <row r="401" spans="6:8" x14ac:dyDescent="0.25">
      <c r="F401" s="2" t="e">
        <f t="shared" si="18"/>
        <v>#N/A</v>
      </c>
      <c r="G401" s="2" t="e">
        <f t="shared" si="19"/>
        <v>#N/A</v>
      </c>
      <c r="H401" s="2" t="e">
        <f t="shared" si="20"/>
        <v>#N/A</v>
      </c>
    </row>
    <row r="402" spans="6:8" x14ac:dyDescent="0.25">
      <c r="F402" s="2" t="e">
        <f t="shared" si="18"/>
        <v>#N/A</v>
      </c>
      <c r="G402" s="2" t="e">
        <f t="shared" si="19"/>
        <v>#N/A</v>
      </c>
      <c r="H402" s="2" t="e">
        <f t="shared" si="20"/>
        <v>#N/A</v>
      </c>
    </row>
    <row r="403" spans="6:8" x14ac:dyDescent="0.25">
      <c r="F403" s="2" t="e">
        <f t="shared" si="18"/>
        <v>#N/A</v>
      </c>
      <c r="G403" s="2" t="e">
        <f t="shared" si="19"/>
        <v>#N/A</v>
      </c>
      <c r="H403" s="2" t="e">
        <f t="shared" si="20"/>
        <v>#N/A</v>
      </c>
    </row>
    <row r="404" spans="6:8" x14ac:dyDescent="0.25">
      <c r="F404" s="2" t="e">
        <f t="shared" si="18"/>
        <v>#N/A</v>
      </c>
      <c r="G404" s="2" t="e">
        <f t="shared" si="19"/>
        <v>#N/A</v>
      </c>
      <c r="H404" s="2" t="e">
        <f t="shared" si="20"/>
        <v>#N/A</v>
      </c>
    </row>
    <row r="405" spans="6:8" x14ac:dyDescent="0.25">
      <c r="F405" s="2" t="e">
        <f t="shared" si="18"/>
        <v>#N/A</v>
      </c>
      <c r="G405" s="2" t="e">
        <f t="shared" si="19"/>
        <v>#N/A</v>
      </c>
      <c r="H405" s="2" t="e">
        <f t="shared" si="20"/>
        <v>#N/A</v>
      </c>
    </row>
    <row r="406" spans="6:8" x14ac:dyDescent="0.25">
      <c r="F406" s="2" t="e">
        <f t="shared" si="18"/>
        <v>#N/A</v>
      </c>
      <c r="G406" s="2" t="e">
        <f t="shared" si="19"/>
        <v>#N/A</v>
      </c>
      <c r="H406" s="2" t="e">
        <f t="shared" si="20"/>
        <v>#N/A</v>
      </c>
    </row>
    <row r="407" spans="6:8" x14ac:dyDescent="0.25">
      <c r="F407" s="2" t="e">
        <f t="shared" si="18"/>
        <v>#N/A</v>
      </c>
      <c r="G407" s="2" t="e">
        <f t="shared" si="19"/>
        <v>#N/A</v>
      </c>
      <c r="H407" s="2" t="e">
        <f t="shared" si="20"/>
        <v>#N/A</v>
      </c>
    </row>
    <row r="408" spans="6:8" x14ac:dyDescent="0.25">
      <c r="F408" s="2" t="e">
        <f t="shared" si="18"/>
        <v>#N/A</v>
      </c>
      <c r="G408" s="2" t="e">
        <f t="shared" si="19"/>
        <v>#N/A</v>
      </c>
      <c r="H408" s="2" t="e">
        <f t="shared" si="20"/>
        <v>#N/A</v>
      </c>
    </row>
    <row r="409" spans="6:8" x14ac:dyDescent="0.25">
      <c r="F409" s="2" t="e">
        <f t="shared" si="18"/>
        <v>#N/A</v>
      </c>
      <c r="G409" s="2" t="e">
        <f t="shared" si="19"/>
        <v>#N/A</v>
      </c>
      <c r="H409" s="2" t="e">
        <f t="shared" si="20"/>
        <v>#N/A</v>
      </c>
    </row>
    <row r="410" spans="6:8" x14ac:dyDescent="0.25">
      <c r="F410" s="2" t="e">
        <f t="shared" si="18"/>
        <v>#N/A</v>
      </c>
      <c r="G410" s="2" t="e">
        <f t="shared" si="19"/>
        <v>#N/A</v>
      </c>
      <c r="H410" s="2" t="e">
        <f t="shared" si="20"/>
        <v>#N/A</v>
      </c>
    </row>
    <row r="411" spans="6:8" x14ac:dyDescent="0.25">
      <c r="F411" s="2" t="e">
        <f t="shared" si="18"/>
        <v>#N/A</v>
      </c>
      <c r="G411" s="2" t="e">
        <f t="shared" si="19"/>
        <v>#N/A</v>
      </c>
      <c r="H411" s="2" t="e">
        <f t="shared" si="20"/>
        <v>#N/A</v>
      </c>
    </row>
    <row r="412" spans="6:8" x14ac:dyDescent="0.25">
      <c r="F412" s="2" t="e">
        <f t="shared" si="18"/>
        <v>#N/A</v>
      </c>
      <c r="G412" s="2" t="e">
        <f t="shared" si="19"/>
        <v>#N/A</v>
      </c>
      <c r="H412" s="2" t="e">
        <f t="shared" si="20"/>
        <v>#N/A</v>
      </c>
    </row>
    <row r="413" spans="6:8" x14ac:dyDescent="0.25">
      <c r="F413" s="2" t="e">
        <f t="shared" si="18"/>
        <v>#N/A</v>
      </c>
      <c r="G413" s="2" t="e">
        <f t="shared" si="19"/>
        <v>#N/A</v>
      </c>
      <c r="H413" s="2" t="e">
        <f t="shared" si="20"/>
        <v>#N/A</v>
      </c>
    </row>
    <row r="414" spans="6:8" x14ac:dyDescent="0.25">
      <c r="F414" s="2" t="e">
        <f t="shared" si="18"/>
        <v>#N/A</v>
      </c>
      <c r="G414" s="2" t="e">
        <f t="shared" si="19"/>
        <v>#N/A</v>
      </c>
      <c r="H414" s="2" t="e">
        <f t="shared" si="20"/>
        <v>#N/A</v>
      </c>
    </row>
    <row r="415" spans="6:8" x14ac:dyDescent="0.25">
      <c r="F415" s="2" t="e">
        <f t="shared" si="18"/>
        <v>#N/A</v>
      </c>
      <c r="G415" s="2" t="e">
        <f t="shared" si="19"/>
        <v>#N/A</v>
      </c>
      <c r="H415" s="2" t="e">
        <f t="shared" si="20"/>
        <v>#N/A</v>
      </c>
    </row>
    <row r="416" spans="6:8" x14ac:dyDescent="0.25">
      <c r="F416" s="2" t="e">
        <f t="shared" si="18"/>
        <v>#N/A</v>
      </c>
      <c r="G416" s="2" t="e">
        <f t="shared" si="19"/>
        <v>#N/A</v>
      </c>
      <c r="H416" s="2" t="e">
        <f t="shared" si="20"/>
        <v>#N/A</v>
      </c>
    </row>
    <row r="417" spans="6:8" x14ac:dyDescent="0.25">
      <c r="F417" s="2" t="e">
        <f t="shared" si="18"/>
        <v>#N/A</v>
      </c>
      <c r="G417" s="2" t="e">
        <f t="shared" si="19"/>
        <v>#N/A</v>
      </c>
      <c r="H417" s="2" t="e">
        <f t="shared" si="20"/>
        <v>#N/A</v>
      </c>
    </row>
    <row r="418" spans="6:8" x14ac:dyDescent="0.25">
      <c r="F418" s="2" t="e">
        <f t="shared" si="18"/>
        <v>#N/A</v>
      </c>
      <c r="G418" s="2" t="e">
        <f t="shared" si="19"/>
        <v>#N/A</v>
      </c>
      <c r="H418" s="2" t="e">
        <f t="shared" si="20"/>
        <v>#N/A</v>
      </c>
    </row>
    <row r="419" spans="6:8" x14ac:dyDescent="0.25">
      <c r="F419" s="2" t="e">
        <f t="shared" si="18"/>
        <v>#N/A</v>
      </c>
      <c r="G419" s="2" t="e">
        <f t="shared" si="19"/>
        <v>#N/A</v>
      </c>
      <c r="H419" s="2" t="e">
        <f t="shared" si="20"/>
        <v>#N/A</v>
      </c>
    </row>
    <row r="420" spans="6:8" x14ac:dyDescent="0.25">
      <c r="F420" s="2" t="e">
        <f t="shared" si="18"/>
        <v>#N/A</v>
      </c>
      <c r="G420" s="2" t="e">
        <f t="shared" si="19"/>
        <v>#N/A</v>
      </c>
      <c r="H420" s="2" t="e">
        <f t="shared" si="20"/>
        <v>#N/A</v>
      </c>
    </row>
    <row r="421" spans="6:8" x14ac:dyDescent="0.25">
      <c r="F421" s="2" t="e">
        <f t="shared" si="18"/>
        <v>#N/A</v>
      </c>
      <c r="G421" s="2" t="e">
        <f t="shared" si="19"/>
        <v>#N/A</v>
      </c>
      <c r="H421" s="2" t="e">
        <f t="shared" si="20"/>
        <v>#N/A</v>
      </c>
    </row>
    <row r="422" spans="6:8" x14ac:dyDescent="0.25">
      <c r="F422" s="2" t="e">
        <f t="shared" si="18"/>
        <v>#N/A</v>
      </c>
      <c r="G422" s="2" t="e">
        <f t="shared" si="19"/>
        <v>#N/A</v>
      </c>
      <c r="H422" s="2" t="e">
        <f t="shared" si="20"/>
        <v>#N/A</v>
      </c>
    </row>
    <row r="423" spans="6:8" x14ac:dyDescent="0.25">
      <c r="F423" s="2" t="e">
        <f t="shared" si="18"/>
        <v>#N/A</v>
      </c>
      <c r="G423" s="2" t="e">
        <f t="shared" si="19"/>
        <v>#N/A</v>
      </c>
      <c r="H423" s="2" t="e">
        <f t="shared" si="20"/>
        <v>#N/A</v>
      </c>
    </row>
    <row r="424" spans="6:8" x14ac:dyDescent="0.25">
      <c r="F424" s="2" t="e">
        <f t="shared" si="18"/>
        <v>#N/A</v>
      </c>
      <c r="G424" s="2" t="e">
        <f t="shared" si="19"/>
        <v>#N/A</v>
      </c>
      <c r="H424" s="2" t="e">
        <f t="shared" si="20"/>
        <v>#N/A</v>
      </c>
    </row>
    <row r="425" spans="6:8" x14ac:dyDescent="0.25">
      <c r="F425" s="2" t="e">
        <f t="shared" si="18"/>
        <v>#N/A</v>
      </c>
      <c r="G425" s="2" t="e">
        <f t="shared" si="19"/>
        <v>#N/A</v>
      </c>
      <c r="H425" s="2" t="e">
        <f t="shared" si="20"/>
        <v>#N/A</v>
      </c>
    </row>
    <row r="426" spans="6:8" x14ac:dyDescent="0.25">
      <c r="F426" s="2" t="e">
        <f t="shared" si="18"/>
        <v>#N/A</v>
      </c>
      <c r="G426" s="2" t="e">
        <f t="shared" si="19"/>
        <v>#N/A</v>
      </c>
      <c r="H426" s="2" t="e">
        <f t="shared" si="20"/>
        <v>#N/A</v>
      </c>
    </row>
    <row r="427" spans="6:8" x14ac:dyDescent="0.25">
      <c r="F427" s="2" t="e">
        <f t="shared" si="18"/>
        <v>#N/A</v>
      </c>
      <c r="G427" s="2" t="e">
        <f t="shared" si="19"/>
        <v>#N/A</v>
      </c>
      <c r="H427" s="2" t="e">
        <f t="shared" si="20"/>
        <v>#N/A</v>
      </c>
    </row>
    <row r="428" spans="6:8" x14ac:dyDescent="0.25">
      <c r="F428" s="2" t="e">
        <f t="shared" si="18"/>
        <v>#N/A</v>
      </c>
      <c r="G428" s="2" t="e">
        <f t="shared" si="19"/>
        <v>#N/A</v>
      </c>
      <c r="H428" s="2" t="e">
        <f t="shared" si="20"/>
        <v>#N/A</v>
      </c>
    </row>
    <row r="429" spans="6:8" x14ac:dyDescent="0.25">
      <c r="F429" s="2" t="e">
        <f t="shared" si="18"/>
        <v>#N/A</v>
      </c>
      <c r="G429" s="2" t="e">
        <f t="shared" si="19"/>
        <v>#N/A</v>
      </c>
      <c r="H429" s="2" t="e">
        <f t="shared" si="20"/>
        <v>#N/A</v>
      </c>
    </row>
    <row r="430" spans="6:8" x14ac:dyDescent="0.25">
      <c r="F430" s="2" t="e">
        <f t="shared" si="18"/>
        <v>#N/A</v>
      </c>
      <c r="G430" s="2" t="e">
        <f t="shared" si="19"/>
        <v>#N/A</v>
      </c>
      <c r="H430" s="2" t="e">
        <f t="shared" si="20"/>
        <v>#N/A</v>
      </c>
    </row>
    <row r="431" spans="6:8" x14ac:dyDescent="0.25">
      <c r="F431" s="2" t="e">
        <f t="shared" si="18"/>
        <v>#N/A</v>
      </c>
      <c r="G431" s="2" t="e">
        <f t="shared" si="19"/>
        <v>#N/A</v>
      </c>
      <c r="H431" s="2" t="e">
        <f t="shared" si="20"/>
        <v>#N/A</v>
      </c>
    </row>
    <row r="432" spans="6:8" x14ac:dyDescent="0.25">
      <c r="F432" s="2" t="e">
        <f t="shared" si="18"/>
        <v>#N/A</v>
      </c>
      <c r="G432" s="2" t="e">
        <f t="shared" si="19"/>
        <v>#N/A</v>
      </c>
      <c r="H432" s="2" t="e">
        <f t="shared" si="20"/>
        <v>#N/A</v>
      </c>
    </row>
    <row r="433" spans="6:8" x14ac:dyDescent="0.25">
      <c r="F433" s="2" t="e">
        <f t="shared" si="18"/>
        <v>#N/A</v>
      </c>
      <c r="G433" s="2" t="e">
        <f t="shared" si="19"/>
        <v>#N/A</v>
      </c>
      <c r="H433" s="2" t="e">
        <f t="shared" si="20"/>
        <v>#N/A</v>
      </c>
    </row>
    <row r="434" spans="6:8" x14ac:dyDescent="0.25">
      <c r="F434" s="2" t="e">
        <f t="shared" si="18"/>
        <v>#N/A</v>
      </c>
      <c r="G434" s="2" t="e">
        <f t="shared" si="19"/>
        <v>#N/A</v>
      </c>
      <c r="H434" s="2" t="e">
        <f t="shared" si="20"/>
        <v>#N/A</v>
      </c>
    </row>
    <row r="435" spans="6:8" x14ac:dyDescent="0.25">
      <c r="F435" s="2" t="e">
        <f t="shared" si="18"/>
        <v>#N/A</v>
      </c>
      <c r="G435" s="2" t="e">
        <f t="shared" si="19"/>
        <v>#N/A</v>
      </c>
      <c r="H435" s="2" t="e">
        <f t="shared" si="20"/>
        <v>#N/A</v>
      </c>
    </row>
    <row r="436" spans="6:8" x14ac:dyDescent="0.25">
      <c r="F436" s="2" t="e">
        <f t="shared" si="18"/>
        <v>#N/A</v>
      </c>
      <c r="G436" s="2" t="e">
        <f t="shared" si="19"/>
        <v>#N/A</v>
      </c>
      <c r="H436" s="2" t="e">
        <f t="shared" si="20"/>
        <v>#N/A</v>
      </c>
    </row>
    <row r="437" spans="6:8" x14ac:dyDescent="0.25">
      <c r="F437" s="2" t="e">
        <f t="shared" si="18"/>
        <v>#N/A</v>
      </c>
      <c r="G437" s="2" t="e">
        <f t="shared" si="19"/>
        <v>#N/A</v>
      </c>
      <c r="H437" s="2" t="e">
        <f t="shared" si="20"/>
        <v>#N/A</v>
      </c>
    </row>
    <row r="438" spans="6:8" x14ac:dyDescent="0.25">
      <c r="F438" s="2" t="e">
        <f t="shared" si="18"/>
        <v>#N/A</v>
      </c>
      <c r="G438" s="2" t="e">
        <f t="shared" si="19"/>
        <v>#N/A</v>
      </c>
      <c r="H438" s="2" t="e">
        <f t="shared" si="20"/>
        <v>#N/A</v>
      </c>
    </row>
    <row r="439" spans="6:8" x14ac:dyDescent="0.25">
      <c r="F439" s="2" t="e">
        <f t="shared" si="18"/>
        <v>#N/A</v>
      </c>
      <c r="G439" s="2" t="e">
        <f t="shared" si="19"/>
        <v>#N/A</v>
      </c>
      <c r="H439" s="2" t="e">
        <f t="shared" si="20"/>
        <v>#N/A</v>
      </c>
    </row>
    <row r="440" spans="6:8" x14ac:dyDescent="0.25">
      <c r="F440" s="2" t="e">
        <f t="shared" si="18"/>
        <v>#N/A</v>
      </c>
      <c r="G440" s="2" t="e">
        <f t="shared" si="19"/>
        <v>#N/A</v>
      </c>
      <c r="H440" s="2" t="e">
        <f t="shared" si="20"/>
        <v>#N/A</v>
      </c>
    </row>
    <row r="441" spans="6:8" x14ac:dyDescent="0.25">
      <c r="F441" s="2" t="e">
        <f t="shared" si="18"/>
        <v>#N/A</v>
      </c>
      <c r="G441" s="2" t="e">
        <f t="shared" si="19"/>
        <v>#N/A</v>
      </c>
      <c r="H441" s="2" t="e">
        <f t="shared" si="20"/>
        <v>#N/A</v>
      </c>
    </row>
    <row r="442" spans="6:8" x14ac:dyDescent="0.25">
      <c r="F442" s="2" t="e">
        <f t="shared" si="18"/>
        <v>#N/A</v>
      </c>
      <c r="G442" s="2" t="e">
        <f t="shared" si="19"/>
        <v>#N/A</v>
      </c>
      <c r="H442" s="2" t="e">
        <f t="shared" si="20"/>
        <v>#N/A</v>
      </c>
    </row>
    <row r="443" spans="6:8" x14ac:dyDescent="0.25">
      <c r="F443" s="2" t="e">
        <f t="shared" si="18"/>
        <v>#N/A</v>
      </c>
      <c r="G443" s="2" t="e">
        <f t="shared" si="19"/>
        <v>#N/A</v>
      </c>
      <c r="H443" s="2" t="e">
        <f t="shared" si="20"/>
        <v>#N/A</v>
      </c>
    </row>
    <row r="444" spans="6:8" x14ac:dyDescent="0.25">
      <c r="F444" s="2" t="e">
        <f t="shared" si="18"/>
        <v>#N/A</v>
      </c>
      <c r="G444" s="2" t="e">
        <f t="shared" si="19"/>
        <v>#N/A</v>
      </c>
      <c r="H444" s="2" t="e">
        <f t="shared" si="20"/>
        <v>#N/A</v>
      </c>
    </row>
    <row r="445" spans="6:8" x14ac:dyDescent="0.25">
      <c r="F445" s="2" t="e">
        <f t="shared" si="18"/>
        <v>#N/A</v>
      </c>
      <c r="G445" s="2" t="e">
        <f t="shared" si="19"/>
        <v>#N/A</v>
      </c>
      <c r="H445" s="2" t="e">
        <f t="shared" si="20"/>
        <v>#N/A</v>
      </c>
    </row>
    <row r="446" spans="6:8" x14ac:dyDescent="0.25">
      <c r="F446" s="2" t="e">
        <f t="shared" si="18"/>
        <v>#N/A</v>
      </c>
      <c r="G446" s="2" t="e">
        <f t="shared" si="19"/>
        <v>#N/A</v>
      </c>
      <c r="H446" s="2" t="e">
        <f t="shared" si="20"/>
        <v>#N/A</v>
      </c>
    </row>
    <row r="447" spans="6:8" x14ac:dyDescent="0.25">
      <c r="F447" s="2" t="e">
        <f t="shared" si="18"/>
        <v>#N/A</v>
      </c>
      <c r="G447" s="2" t="e">
        <f t="shared" si="19"/>
        <v>#N/A</v>
      </c>
      <c r="H447" s="2" t="e">
        <f t="shared" si="20"/>
        <v>#N/A</v>
      </c>
    </row>
    <row r="448" spans="6:8" x14ac:dyDescent="0.25">
      <c r="F448" s="2" t="e">
        <f t="shared" si="18"/>
        <v>#N/A</v>
      </c>
      <c r="G448" s="2" t="e">
        <f t="shared" si="19"/>
        <v>#N/A</v>
      </c>
      <c r="H448" s="2" t="e">
        <f t="shared" si="20"/>
        <v>#N/A</v>
      </c>
    </row>
    <row r="449" spans="6:8" x14ac:dyDescent="0.25">
      <c r="F449" s="2" t="e">
        <f t="shared" si="18"/>
        <v>#N/A</v>
      </c>
      <c r="G449" s="2" t="e">
        <f t="shared" si="19"/>
        <v>#N/A</v>
      </c>
      <c r="H449" s="2" t="e">
        <f t="shared" si="20"/>
        <v>#N/A</v>
      </c>
    </row>
    <row r="450" spans="6:8" x14ac:dyDescent="0.25">
      <c r="F450" s="2" t="e">
        <f t="shared" si="18"/>
        <v>#N/A</v>
      </c>
      <c r="G450" s="2" t="e">
        <f t="shared" si="19"/>
        <v>#N/A</v>
      </c>
      <c r="H450" s="2" t="e">
        <f t="shared" si="20"/>
        <v>#N/A</v>
      </c>
    </row>
    <row r="451" spans="6:8" x14ac:dyDescent="0.25">
      <c r="F451" s="2" t="e">
        <f t="shared" si="18"/>
        <v>#N/A</v>
      </c>
      <c r="G451" s="2" t="e">
        <f t="shared" si="19"/>
        <v>#N/A</v>
      </c>
      <c r="H451" s="2" t="e">
        <f t="shared" si="20"/>
        <v>#N/A</v>
      </c>
    </row>
    <row r="452" spans="6:8" x14ac:dyDescent="0.25">
      <c r="F452" s="2" t="e">
        <f t="shared" si="18"/>
        <v>#N/A</v>
      </c>
      <c r="G452" s="2" t="e">
        <f t="shared" si="19"/>
        <v>#N/A</v>
      </c>
      <c r="H452" s="2" t="e">
        <f t="shared" si="20"/>
        <v>#N/A</v>
      </c>
    </row>
    <row r="453" spans="6:8" x14ac:dyDescent="0.25">
      <c r="F453" s="2" t="e">
        <f t="shared" si="18"/>
        <v>#N/A</v>
      </c>
      <c r="G453" s="2" t="e">
        <f t="shared" si="19"/>
        <v>#N/A</v>
      </c>
      <c r="H453" s="2" t="e">
        <f t="shared" si="20"/>
        <v>#N/A</v>
      </c>
    </row>
    <row r="454" spans="6:8" x14ac:dyDescent="0.25">
      <c r="F454" s="2" t="e">
        <f t="shared" ref="F454:F517" si="21">IF(F453&lt;2,F453+$D$6,NA())</f>
        <v>#N/A</v>
      </c>
      <c r="G454" s="2" t="e">
        <f t="shared" ref="G454:G517" si="22">IF(ISNA(F454), NA(),(1+$D$3*$D$6)*G453+$D$6*$D$4)</f>
        <v>#N/A</v>
      </c>
      <c r="H454" s="2" t="e">
        <f t="shared" ref="H454:H517" si="23">IF(ISNA(G454),NA(),$D$7*EXP($D$3*F454)-($D$4/$D$3))</f>
        <v>#N/A</v>
      </c>
    </row>
    <row r="455" spans="6:8" x14ac:dyDescent="0.25">
      <c r="F455" s="2" t="e">
        <f t="shared" si="21"/>
        <v>#N/A</v>
      </c>
      <c r="G455" s="2" t="e">
        <f t="shared" si="22"/>
        <v>#N/A</v>
      </c>
      <c r="H455" s="2" t="e">
        <f t="shared" si="23"/>
        <v>#N/A</v>
      </c>
    </row>
    <row r="456" spans="6:8" x14ac:dyDescent="0.25">
      <c r="F456" s="2" t="e">
        <f t="shared" si="21"/>
        <v>#N/A</v>
      </c>
      <c r="G456" s="2" t="e">
        <f t="shared" si="22"/>
        <v>#N/A</v>
      </c>
      <c r="H456" s="2" t="e">
        <f t="shared" si="23"/>
        <v>#N/A</v>
      </c>
    </row>
    <row r="457" spans="6:8" x14ac:dyDescent="0.25">
      <c r="F457" s="2" t="e">
        <f t="shared" si="21"/>
        <v>#N/A</v>
      </c>
      <c r="G457" s="2" t="e">
        <f t="shared" si="22"/>
        <v>#N/A</v>
      </c>
      <c r="H457" s="2" t="e">
        <f t="shared" si="23"/>
        <v>#N/A</v>
      </c>
    </row>
    <row r="458" spans="6:8" x14ac:dyDescent="0.25">
      <c r="F458" s="2" t="e">
        <f t="shared" si="21"/>
        <v>#N/A</v>
      </c>
      <c r="G458" s="2" t="e">
        <f t="shared" si="22"/>
        <v>#N/A</v>
      </c>
      <c r="H458" s="2" t="e">
        <f t="shared" si="23"/>
        <v>#N/A</v>
      </c>
    </row>
    <row r="459" spans="6:8" x14ac:dyDescent="0.25">
      <c r="F459" s="2" t="e">
        <f t="shared" si="21"/>
        <v>#N/A</v>
      </c>
      <c r="G459" s="2" t="e">
        <f t="shared" si="22"/>
        <v>#N/A</v>
      </c>
      <c r="H459" s="2" t="e">
        <f t="shared" si="23"/>
        <v>#N/A</v>
      </c>
    </row>
    <row r="460" spans="6:8" x14ac:dyDescent="0.25">
      <c r="F460" s="2" t="e">
        <f t="shared" si="21"/>
        <v>#N/A</v>
      </c>
      <c r="G460" s="2" t="e">
        <f t="shared" si="22"/>
        <v>#N/A</v>
      </c>
      <c r="H460" s="2" t="e">
        <f t="shared" si="23"/>
        <v>#N/A</v>
      </c>
    </row>
    <row r="461" spans="6:8" x14ac:dyDescent="0.25">
      <c r="F461" s="2" t="e">
        <f t="shared" si="21"/>
        <v>#N/A</v>
      </c>
      <c r="G461" s="2" t="e">
        <f t="shared" si="22"/>
        <v>#N/A</v>
      </c>
      <c r="H461" s="2" t="e">
        <f t="shared" si="23"/>
        <v>#N/A</v>
      </c>
    </row>
    <row r="462" spans="6:8" x14ac:dyDescent="0.25">
      <c r="F462" s="2" t="e">
        <f t="shared" si="21"/>
        <v>#N/A</v>
      </c>
      <c r="G462" s="2" t="e">
        <f t="shared" si="22"/>
        <v>#N/A</v>
      </c>
      <c r="H462" s="2" t="e">
        <f t="shared" si="23"/>
        <v>#N/A</v>
      </c>
    </row>
    <row r="463" spans="6:8" x14ac:dyDescent="0.25">
      <c r="F463" s="2" t="e">
        <f t="shared" si="21"/>
        <v>#N/A</v>
      </c>
      <c r="G463" s="2" t="e">
        <f t="shared" si="22"/>
        <v>#N/A</v>
      </c>
      <c r="H463" s="2" t="e">
        <f t="shared" si="23"/>
        <v>#N/A</v>
      </c>
    </row>
    <row r="464" spans="6:8" x14ac:dyDescent="0.25">
      <c r="F464" s="2" t="e">
        <f t="shared" si="21"/>
        <v>#N/A</v>
      </c>
      <c r="G464" s="2" t="e">
        <f t="shared" si="22"/>
        <v>#N/A</v>
      </c>
      <c r="H464" s="2" t="e">
        <f t="shared" si="23"/>
        <v>#N/A</v>
      </c>
    </row>
    <row r="465" spans="6:8" x14ac:dyDescent="0.25">
      <c r="F465" s="2" t="e">
        <f t="shared" si="21"/>
        <v>#N/A</v>
      </c>
      <c r="G465" s="2" t="e">
        <f t="shared" si="22"/>
        <v>#N/A</v>
      </c>
      <c r="H465" s="2" t="e">
        <f t="shared" si="23"/>
        <v>#N/A</v>
      </c>
    </row>
    <row r="466" spans="6:8" x14ac:dyDescent="0.25">
      <c r="F466" s="2" t="e">
        <f t="shared" si="21"/>
        <v>#N/A</v>
      </c>
      <c r="G466" s="2" t="e">
        <f t="shared" si="22"/>
        <v>#N/A</v>
      </c>
      <c r="H466" s="2" t="e">
        <f t="shared" si="23"/>
        <v>#N/A</v>
      </c>
    </row>
    <row r="467" spans="6:8" x14ac:dyDescent="0.25">
      <c r="F467" s="2" t="e">
        <f t="shared" si="21"/>
        <v>#N/A</v>
      </c>
      <c r="G467" s="2" t="e">
        <f t="shared" si="22"/>
        <v>#N/A</v>
      </c>
      <c r="H467" s="2" t="e">
        <f t="shared" si="23"/>
        <v>#N/A</v>
      </c>
    </row>
    <row r="468" spans="6:8" x14ac:dyDescent="0.25">
      <c r="F468" s="2" t="e">
        <f t="shared" si="21"/>
        <v>#N/A</v>
      </c>
      <c r="G468" s="2" t="e">
        <f t="shared" si="22"/>
        <v>#N/A</v>
      </c>
      <c r="H468" s="2" t="e">
        <f t="shared" si="23"/>
        <v>#N/A</v>
      </c>
    </row>
    <row r="469" spans="6:8" x14ac:dyDescent="0.25">
      <c r="F469" s="2" t="e">
        <f t="shared" si="21"/>
        <v>#N/A</v>
      </c>
      <c r="G469" s="2" t="e">
        <f t="shared" si="22"/>
        <v>#N/A</v>
      </c>
      <c r="H469" s="2" t="e">
        <f t="shared" si="23"/>
        <v>#N/A</v>
      </c>
    </row>
    <row r="470" spans="6:8" x14ac:dyDescent="0.25">
      <c r="F470" s="2" t="e">
        <f t="shared" si="21"/>
        <v>#N/A</v>
      </c>
      <c r="G470" s="2" t="e">
        <f t="shared" si="22"/>
        <v>#N/A</v>
      </c>
      <c r="H470" s="2" t="e">
        <f t="shared" si="23"/>
        <v>#N/A</v>
      </c>
    </row>
    <row r="471" spans="6:8" x14ac:dyDescent="0.25">
      <c r="F471" s="2" t="e">
        <f t="shared" si="21"/>
        <v>#N/A</v>
      </c>
      <c r="G471" s="2" t="e">
        <f t="shared" si="22"/>
        <v>#N/A</v>
      </c>
      <c r="H471" s="2" t="e">
        <f t="shared" si="23"/>
        <v>#N/A</v>
      </c>
    </row>
    <row r="472" spans="6:8" x14ac:dyDescent="0.25">
      <c r="F472" s="2" t="e">
        <f t="shared" si="21"/>
        <v>#N/A</v>
      </c>
      <c r="G472" s="2" t="e">
        <f t="shared" si="22"/>
        <v>#N/A</v>
      </c>
      <c r="H472" s="2" t="e">
        <f t="shared" si="23"/>
        <v>#N/A</v>
      </c>
    </row>
    <row r="473" spans="6:8" x14ac:dyDescent="0.25">
      <c r="F473" s="2" t="e">
        <f t="shared" si="21"/>
        <v>#N/A</v>
      </c>
      <c r="G473" s="2" t="e">
        <f t="shared" si="22"/>
        <v>#N/A</v>
      </c>
      <c r="H473" s="2" t="e">
        <f t="shared" si="23"/>
        <v>#N/A</v>
      </c>
    </row>
    <row r="474" spans="6:8" x14ac:dyDescent="0.25">
      <c r="F474" s="2" t="e">
        <f t="shared" si="21"/>
        <v>#N/A</v>
      </c>
      <c r="G474" s="2" t="e">
        <f t="shared" si="22"/>
        <v>#N/A</v>
      </c>
      <c r="H474" s="2" t="e">
        <f t="shared" si="23"/>
        <v>#N/A</v>
      </c>
    </row>
    <row r="475" spans="6:8" x14ac:dyDescent="0.25">
      <c r="F475" s="2" t="e">
        <f t="shared" si="21"/>
        <v>#N/A</v>
      </c>
      <c r="G475" s="2" t="e">
        <f t="shared" si="22"/>
        <v>#N/A</v>
      </c>
      <c r="H475" s="2" t="e">
        <f t="shared" si="23"/>
        <v>#N/A</v>
      </c>
    </row>
    <row r="476" spans="6:8" x14ac:dyDescent="0.25">
      <c r="F476" s="2" t="e">
        <f t="shared" si="21"/>
        <v>#N/A</v>
      </c>
      <c r="G476" s="2" t="e">
        <f t="shared" si="22"/>
        <v>#N/A</v>
      </c>
      <c r="H476" s="2" t="e">
        <f t="shared" si="23"/>
        <v>#N/A</v>
      </c>
    </row>
    <row r="477" spans="6:8" x14ac:dyDescent="0.25">
      <c r="F477" s="2" t="e">
        <f t="shared" si="21"/>
        <v>#N/A</v>
      </c>
      <c r="G477" s="2" t="e">
        <f t="shared" si="22"/>
        <v>#N/A</v>
      </c>
      <c r="H477" s="2" t="e">
        <f t="shared" si="23"/>
        <v>#N/A</v>
      </c>
    </row>
    <row r="478" spans="6:8" x14ac:dyDescent="0.25">
      <c r="F478" s="2" t="e">
        <f t="shared" si="21"/>
        <v>#N/A</v>
      </c>
      <c r="G478" s="2" t="e">
        <f t="shared" si="22"/>
        <v>#N/A</v>
      </c>
      <c r="H478" s="2" t="e">
        <f t="shared" si="23"/>
        <v>#N/A</v>
      </c>
    </row>
    <row r="479" spans="6:8" x14ac:dyDescent="0.25">
      <c r="F479" s="2" t="e">
        <f t="shared" si="21"/>
        <v>#N/A</v>
      </c>
      <c r="G479" s="2" t="e">
        <f t="shared" si="22"/>
        <v>#N/A</v>
      </c>
      <c r="H479" s="2" t="e">
        <f t="shared" si="23"/>
        <v>#N/A</v>
      </c>
    </row>
    <row r="480" spans="6:8" x14ac:dyDescent="0.25">
      <c r="F480" s="2" t="e">
        <f t="shared" si="21"/>
        <v>#N/A</v>
      </c>
      <c r="G480" s="2" t="e">
        <f t="shared" si="22"/>
        <v>#N/A</v>
      </c>
      <c r="H480" s="2" t="e">
        <f t="shared" si="23"/>
        <v>#N/A</v>
      </c>
    </row>
    <row r="481" spans="6:8" x14ac:dyDescent="0.25">
      <c r="F481" s="2" t="e">
        <f t="shared" si="21"/>
        <v>#N/A</v>
      </c>
      <c r="G481" s="2" t="e">
        <f t="shared" si="22"/>
        <v>#N/A</v>
      </c>
      <c r="H481" s="2" t="e">
        <f t="shared" si="23"/>
        <v>#N/A</v>
      </c>
    </row>
    <row r="482" spans="6:8" x14ac:dyDescent="0.25">
      <c r="F482" s="2" t="e">
        <f t="shared" si="21"/>
        <v>#N/A</v>
      </c>
      <c r="G482" s="2" t="e">
        <f t="shared" si="22"/>
        <v>#N/A</v>
      </c>
      <c r="H482" s="2" t="e">
        <f t="shared" si="23"/>
        <v>#N/A</v>
      </c>
    </row>
    <row r="483" spans="6:8" x14ac:dyDescent="0.25">
      <c r="F483" s="2" t="e">
        <f t="shared" si="21"/>
        <v>#N/A</v>
      </c>
      <c r="G483" s="2" t="e">
        <f t="shared" si="22"/>
        <v>#N/A</v>
      </c>
      <c r="H483" s="2" t="e">
        <f t="shared" si="23"/>
        <v>#N/A</v>
      </c>
    </row>
    <row r="484" spans="6:8" x14ac:dyDescent="0.25">
      <c r="F484" s="2" t="e">
        <f t="shared" si="21"/>
        <v>#N/A</v>
      </c>
      <c r="G484" s="2" t="e">
        <f t="shared" si="22"/>
        <v>#N/A</v>
      </c>
      <c r="H484" s="2" t="e">
        <f t="shared" si="23"/>
        <v>#N/A</v>
      </c>
    </row>
    <row r="485" spans="6:8" x14ac:dyDescent="0.25">
      <c r="F485" s="2" t="e">
        <f t="shared" si="21"/>
        <v>#N/A</v>
      </c>
      <c r="G485" s="2" t="e">
        <f t="shared" si="22"/>
        <v>#N/A</v>
      </c>
      <c r="H485" s="2" t="e">
        <f t="shared" si="23"/>
        <v>#N/A</v>
      </c>
    </row>
    <row r="486" spans="6:8" x14ac:dyDescent="0.25">
      <c r="F486" s="2" t="e">
        <f t="shared" si="21"/>
        <v>#N/A</v>
      </c>
      <c r="G486" s="2" t="e">
        <f t="shared" si="22"/>
        <v>#N/A</v>
      </c>
      <c r="H486" s="2" t="e">
        <f t="shared" si="23"/>
        <v>#N/A</v>
      </c>
    </row>
    <row r="487" spans="6:8" x14ac:dyDescent="0.25">
      <c r="F487" s="2" t="e">
        <f t="shared" si="21"/>
        <v>#N/A</v>
      </c>
      <c r="G487" s="2" t="e">
        <f t="shared" si="22"/>
        <v>#N/A</v>
      </c>
      <c r="H487" s="2" t="e">
        <f t="shared" si="23"/>
        <v>#N/A</v>
      </c>
    </row>
    <row r="488" spans="6:8" x14ac:dyDescent="0.25">
      <c r="F488" s="2" t="e">
        <f t="shared" si="21"/>
        <v>#N/A</v>
      </c>
      <c r="G488" s="2" t="e">
        <f t="shared" si="22"/>
        <v>#N/A</v>
      </c>
      <c r="H488" s="2" t="e">
        <f t="shared" si="23"/>
        <v>#N/A</v>
      </c>
    </row>
    <row r="489" spans="6:8" x14ac:dyDescent="0.25">
      <c r="F489" s="2" t="e">
        <f t="shared" si="21"/>
        <v>#N/A</v>
      </c>
      <c r="G489" s="2" t="e">
        <f t="shared" si="22"/>
        <v>#N/A</v>
      </c>
      <c r="H489" s="2" t="e">
        <f t="shared" si="23"/>
        <v>#N/A</v>
      </c>
    </row>
    <row r="490" spans="6:8" x14ac:dyDescent="0.25">
      <c r="F490" s="2" t="e">
        <f t="shared" si="21"/>
        <v>#N/A</v>
      </c>
      <c r="G490" s="2" t="e">
        <f t="shared" si="22"/>
        <v>#N/A</v>
      </c>
      <c r="H490" s="2" t="e">
        <f t="shared" si="23"/>
        <v>#N/A</v>
      </c>
    </row>
    <row r="491" spans="6:8" x14ac:dyDescent="0.25">
      <c r="F491" s="2" t="e">
        <f t="shared" si="21"/>
        <v>#N/A</v>
      </c>
      <c r="G491" s="2" t="e">
        <f t="shared" si="22"/>
        <v>#N/A</v>
      </c>
      <c r="H491" s="2" t="e">
        <f t="shared" si="23"/>
        <v>#N/A</v>
      </c>
    </row>
    <row r="492" spans="6:8" x14ac:dyDescent="0.25">
      <c r="F492" s="2" t="e">
        <f t="shared" si="21"/>
        <v>#N/A</v>
      </c>
      <c r="G492" s="2" t="e">
        <f t="shared" si="22"/>
        <v>#N/A</v>
      </c>
      <c r="H492" s="2" t="e">
        <f t="shared" si="23"/>
        <v>#N/A</v>
      </c>
    </row>
    <row r="493" spans="6:8" x14ac:dyDescent="0.25">
      <c r="F493" s="2" t="e">
        <f t="shared" si="21"/>
        <v>#N/A</v>
      </c>
      <c r="G493" s="2" t="e">
        <f t="shared" si="22"/>
        <v>#N/A</v>
      </c>
      <c r="H493" s="2" t="e">
        <f t="shared" si="23"/>
        <v>#N/A</v>
      </c>
    </row>
    <row r="494" spans="6:8" x14ac:dyDescent="0.25">
      <c r="F494" s="2" t="e">
        <f t="shared" si="21"/>
        <v>#N/A</v>
      </c>
      <c r="G494" s="2" t="e">
        <f t="shared" si="22"/>
        <v>#N/A</v>
      </c>
      <c r="H494" s="2" t="e">
        <f t="shared" si="23"/>
        <v>#N/A</v>
      </c>
    </row>
    <row r="495" spans="6:8" x14ac:dyDescent="0.25">
      <c r="F495" s="2" t="e">
        <f t="shared" si="21"/>
        <v>#N/A</v>
      </c>
      <c r="G495" s="2" t="e">
        <f t="shared" si="22"/>
        <v>#N/A</v>
      </c>
      <c r="H495" s="2" t="e">
        <f t="shared" si="23"/>
        <v>#N/A</v>
      </c>
    </row>
    <row r="496" spans="6:8" x14ac:dyDescent="0.25">
      <c r="F496" s="2" t="e">
        <f t="shared" si="21"/>
        <v>#N/A</v>
      </c>
      <c r="G496" s="2" t="e">
        <f t="shared" si="22"/>
        <v>#N/A</v>
      </c>
      <c r="H496" s="2" t="e">
        <f t="shared" si="23"/>
        <v>#N/A</v>
      </c>
    </row>
    <row r="497" spans="6:8" x14ac:dyDescent="0.25">
      <c r="F497" s="2" t="e">
        <f t="shared" si="21"/>
        <v>#N/A</v>
      </c>
      <c r="G497" s="2" t="e">
        <f t="shared" si="22"/>
        <v>#N/A</v>
      </c>
      <c r="H497" s="2" t="e">
        <f t="shared" si="23"/>
        <v>#N/A</v>
      </c>
    </row>
    <row r="498" spans="6:8" x14ac:dyDescent="0.25">
      <c r="F498" s="2" t="e">
        <f t="shared" si="21"/>
        <v>#N/A</v>
      </c>
      <c r="G498" s="2" t="e">
        <f t="shared" si="22"/>
        <v>#N/A</v>
      </c>
      <c r="H498" s="2" t="e">
        <f t="shared" si="23"/>
        <v>#N/A</v>
      </c>
    </row>
    <row r="499" spans="6:8" x14ac:dyDescent="0.25">
      <c r="F499" s="2" t="e">
        <f t="shared" si="21"/>
        <v>#N/A</v>
      </c>
      <c r="G499" s="2" t="e">
        <f t="shared" si="22"/>
        <v>#N/A</v>
      </c>
      <c r="H499" s="2" t="e">
        <f t="shared" si="23"/>
        <v>#N/A</v>
      </c>
    </row>
    <row r="500" spans="6:8" x14ac:dyDescent="0.25">
      <c r="F500" s="2" t="e">
        <f t="shared" si="21"/>
        <v>#N/A</v>
      </c>
      <c r="G500" s="2" t="e">
        <f t="shared" si="22"/>
        <v>#N/A</v>
      </c>
      <c r="H500" s="2" t="e">
        <f t="shared" si="23"/>
        <v>#N/A</v>
      </c>
    </row>
    <row r="501" spans="6:8" x14ac:dyDescent="0.25">
      <c r="F501" s="2" t="e">
        <f t="shared" si="21"/>
        <v>#N/A</v>
      </c>
      <c r="G501" s="2" t="e">
        <f t="shared" si="22"/>
        <v>#N/A</v>
      </c>
      <c r="H501" s="2" t="e">
        <f t="shared" si="23"/>
        <v>#N/A</v>
      </c>
    </row>
    <row r="502" spans="6:8" x14ac:dyDescent="0.25">
      <c r="F502" s="2" t="e">
        <f t="shared" si="21"/>
        <v>#N/A</v>
      </c>
      <c r="G502" s="2" t="e">
        <f t="shared" si="22"/>
        <v>#N/A</v>
      </c>
      <c r="H502" s="2" t="e">
        <f t="shared" si="23"/>
        <v>#N/A</v>
      </c>
    </row>
    <row r="503" spans="6:8" x14ac:dyDescent="0.25">
      <c r="F503" s="2" t="e">
        <f t="shared" si="21"/>
        <v>#N/A</v>
      </c>
      <c r="G503" s="2" t="e">
        <f t="shared" si="22"/>
        <v>#N/A</v>
      </c>
      <c r="H503" s="2" t="e">
        <f t="shared" si="23"/>
        <v>#N/A</v>
      </c>
    </row>
    <row r="504" spans="6:8" x14ac:dyDescent="0.25">
      <c r="F504" s="2" t="e">
        <f t="shared" si="21"/>
        <v>#N/A</v>
      </c>
      <c r="G504" s="2" t="e">
        <f t="shared" si="22"/>
        <v>#N/A</v>
      </c>
      <c r="H504" s="2" t="e">
        <f t="shared" si="23"/>
        <v>#N/A</v>
      </c>
    </row>
    <row r="505" spans="6:8" x14ac:dyDescent="0.25">
      <c r="F505" s="2" t="e">
        <f t="shared" si="21"/>
        <v>#N/A</v>
      </c>
      <c r="G505" s="2" t="e">
        <f t="shared" si="22"/>
        <v>#N/A</v>
      </c>
      <c r="H505" s="2" t="e">
        <f t="shared" si="23"/>
        <v>#N/A</v>
      </c>
    </row>
    <row r="506" spans="6:8" x14ac:dyDescent="0.25">
      <c r="F506" s="2" t="e">
        <f t="shared" si="21"/>
        <v>#N/A</v>
      </c>
      <c r="G506" s="2" t="e">
        <f t="shared" si="22"/>
        <v>#N/A</v>
      </c>
      <c r="H506" s="2" t="e">
        <f t="shared" si="23"/>
        <v>#N/A</v>
      </c>
    </row>
    <row r="507" spans="6:8" x14ac:dyDescent="0.25">
      <c r="F507" s="2" t="e">
        <f t="shared" si="21"/>
        <v>#N/A</v>
      </c>
      <c r="G507" s="2" t="e">
        <f t="shared" si="22"/>
        <v>#N/A</v>
      </c>
      <c r="H507" s="2" t="e">
        <f t="shared" si="23"/>
        <v>#N/A</v>
      </c>
    </row>
    <row r="508" spans="6:8" x14ac:dyDescent="0.25">
      <c r="F508" s="2" t="e">
        <f t="shared" si="21"/>
        <v>#N/A</v>
      </c>
      <c r="G508" s="2" t="e">
        <f t="shared" si="22"/>
        <v>#N/A</v>
      </c>
      <c r="H508" s="2" t="e">
        <f t="shared" si="23"/>
        <v>#N/A</v>
      </c>
    </row>
    <row r="509" spans="6:8" x14ac:dyDescent="0.25">
      <c r="F509" s="2" t="e">
        <f t="shared" si="21"/>
        <v>#N/A</v>
      </c>
      <c r="G509" s="2" t="e">
        <f t="shared" si="22"/>
        <v>#N/A</v>
      </c>
      <c r="H509" s="2" t="e">
        <f t="shared" si="23"/>
        <v>#N/A</v>
      </c>
    </row>
    <row r="510" spans="6:8" x14ac:dyDescent="0.25">
      <c r="F510" s="2" t="e">
        <f t="shared" si="21"/>
        <v>#N/A</v>
      </c>
      <c r="G510" s="2" t="e">
        <f t="shared" si="22"/>
        <v>#N/A</v>
      </c>
      <c r="H510" s="2" t="e">
        <f t="shared" si="23"/>
        <v>#N/A</v>
      </c>
    </row>
    <row r="511" spans="6:8" x14ac:dyDescent="0.25">
      <c r="F511" s="2" t="e">
        <f t="shared" si="21"/>
        <v>#N/A</v>
      </c>
      <c r="G511" s="2" t="e">
        <f t="shared" si="22"/>
        <v>#N/A</v>
      </c>
      <c r="H511" s="2" t="e">
        <f t="shared" si="23"/>
        <v>#N/A</v>
      </c>
    </row>
    <row r="512" spans="6:8" x14ac:dyDescent="0.25">
      <c r="F512" s="2" t="e">
        <f t="shared" si="21"/>
        <v>#N/A</v>
      </c>
      <c r="G512" s="2" t="e">
        <f t="shared" si="22"/>
        <v>#N/A</v>
      </c>
      <c r="H512" s="2" t="e">
        <f t="shared" si="23"/>
        <v>#N/A</v>
      </c>
    </row>
    <row r="513" spans="6:8" x14ac:dyDescent="0.25">
      <c r="F513" s="2" t="e">
        <f t="shared" si="21"/>
        <v>#N/A</v>
      </c>
      <c r="G513" s="2" t="e">
        <f t="shared" si="22"/>
        <v>#N/A</v>
      </c>
      <c r="H513" s="2" t="e">
        <f t="shared" si="23"/>
        <v>#N/A</v>
      </c>
    </row>
    <row r="514" spans="6:8" x14ac:dyDescent="0.25">
      <c r="F514" s="2" t="e">
        <f t="shared" si="21"/>
        <v>#N/A</v>
      </c>
      <c r="G514" s="2" t="e">
        <f t="shared" si="22"/>
        <v>#N/A</v>
      </c>
      <c r="H514" s="2" t="e">
        <f t="shared" si="23"/>
        <v>#N/A</v>
      </c>
    </row>
    <row r="515" spans="6:8" x14ac:dyDescent="0.25">
      <c r="F515" s="2" t="e">
        <f t="shared" si="21"/>
        <v>#N/A</v>
      </c>
      <c r="G515" s="2" t="e">
        <f t="shared" si="22"/>
        <v>#N/A</v>
      </c>
      <c r="H515" s="2" t="e">
        <f t="shared" si="23"/>
        <v>#N/A</v>
      </c>
    </row>
    <row r="516" spans="6:8" x14ac:dyDescent="0.25">
      <c r="F516" s="2" t="e">
        <f t="shared" si="21"/>
        <v>#N/A</v>
      </c>
      <c r="G516" s="2" t="e">
        <f t="shared" si="22"/>
        <v>#N/A</v>
      </c>
      <c r="H516" s="2" t="e">
        <f t="shared" si="23"/>
        <v>#N/A</v>
      </c>
    </row>
    <row r="517" spans="6:8" x14ac:dyDescent="0.25">
      <c r="F517" s="2" t="e">
        <f t="shared" si="21"/>
        <v>#N/A</v>
      </c>
      <c r="G517" s="2" t="e">
        <f t="shared" si="22"/>
        <v>#N/A</v>
      </c>
      <c r="H517" s="2" t="e">
        <f t="shared" si="23"/>
        <v>#N/A</v>
      </c>
    </row>
    <row r="518" spans="6:8" x14ac:dyDescent="0.25">
      <c r="F518" s="2" t="e">
        <f t="shared" ref="F518:F581" si="24">IF(F517&lt;2,F517+$D$6,NA())</f>
        <v>#N/A</v>
      </c>
      <c r="G518" s="2" t="e">
        <f t="shared" ref="G518:G581" si="25">IF(ISNA(F518), NA(),(1+$D$3*$D$6)*G517+$D$6*$D$4)</f>
        <v>#N/A</v>
      </c>
      <c r="H518" s="2" t="e">
        <f t="shared" ref="H518:H581" si="26">IF(ISNA(G518),NA(),$D$7*EXP($D$3*F518)-($D$4/$D$3))</f>
        <v>#N/A</v>
      </c>
    </row>
    <row r="519" spans="6:8" x14ac:dyDescent="0.25">
      <c r="F519" s="2" t="e">
        <f t="shared" si="24"/>
        <v>#N/A</v>
      </c>
      <c r="G519" s="2" t="e">
        <f t="shared" si="25"/>
        <v>#N/A</v>
      </c>
      <c r="H519" s="2" t="e">
        <f t="shared" si="26"/>
        <v>#N/A</v>
      </c>
    </row>
    <row r="520" spans="6:8" x14ac:dyDescent="0.25">
      <c r="F520" s="2" t="e">
        <f t="shared" si="24"/>
        <v>#N/A</v>
      </c>
      <c r="G520" s="2" t="e">
        <f t="shared" si="25"/>
        <v>#N/A</v>
      </c>
      <c r="H520" s="2" t="e">
        <f t="shared" si="26"/>
        <v>#N/A</v>
      </c>
    </row>
    <row r="521" spans="6:8" x14ac:dyDescent="0.25">
      <c r="F521" s="2" t="e">
        <f t="shared" si="24"/>
        <v>#N/A</v>
      </c>
      <c r="G521" s="2" t="e">
        <f t="shared" si="25"/>
        <v>#N/A</v>
      </c>
      <c r="H521" s="2" t="e">
        <f t="shared" si="26"/>
        <v>#N/A</v>
      </c>
    </row>
    <row r="522" spans="6:8" x14ac:dyDescent="0.25">
      <c r="F522" s="2" t="e">
        <f t="shared" si="24"/>
        <v>#N/A</v>
      </c>
      <c r="G522" s="2" t="e">
        <f t="shared" si="25"/>
        <v>#N/A</v>
      </c>
      <c r="H522" s="2" t="e">
        <f t="shared" si="26"/>
        <v>#N/A</v>
      </c>
    </row>
    <row r="523" spans="6:8" x14ac:dyDescent="0.25">
      <c r="F523" s="2" t="e">
        <f t="shared" si="24"/>
        <v>#N/A</v>
      </c>
      <c r="G523" s="2" t="e">
        <f t="shared" si="25"/>
        <v>#N/A</v>
      </c>
      <c r="H523" s="2" t="e">
        <f t="shared" si="26"/>
        <v>#N/A</v>
      </c>
    </row>
    <row r="524" spans="6:8" x14ac:dyDescent="0.25">
      <c r="F524" s="2" t="e">
        <f t="shared" si="24"/>
        <v>#N/A</v>
      </c>
      <c r="G524" s="2" t="e">
        <f t="shared" si="25"/>
        <v>#N/A</v>
      </c>
      <c r="H524" s="2" t="e">
        <f t="shared" si="26"/>
        <v>#N/A</v>
      </c>
    </row>
    <row r="525" spans="6:8" x14ac:dyDescent="0.25">
      <c r="F525" s="2" t="e">
        <f t="shared" si="24"/>
        <v>#N/A</v>
      </c>
      <c r="G525" s="2" t="e">
        <f t="shared" si="25"/>
        <v>#N/A</v>
      </c>
      <c r="H525" s="2" t="e">
        <f t="shared" si="26"/>
        <v>#N/A</v>
      </c>
    </row>
    <row r="526" spans="6:8" x14ac:dyDescent="0.25">
      <c r="F526" s="2" t="e">
        <f t="shared" si="24"/>
        <v>#N/A</v>
      </c>
      <c r="G526" s="2" t="e">
        <f t="shared" si="25"/>
        <v>#N/A</v>
      </c>
      <c r="H526" s="2" t="e">
        <f t="shared" si="26"/>
        <v>#N/A</v>
      </c>
    </row>
    <row r="527" spans="6:8" x14ac:dyDescent="0.25">
      <c r="F527" s="2" t="e">
        <f t="shared" si="24"/>
        <v>#N/A</v>
      </c>
      <c r="G527" s="2" t="e">
        <f t="shared" si="25"/>
        <v>#N/A</v>
      </c>
      <c r="H527" s="2" t="e">
        <f t="shared" si="26"/>
        <v>#N/A</v>
      </c>
    </row>
    <row r="528" spans="6:8" x14ac:dyDescent="0.25">
      <c r="F528" s="2" t="e">
        <f t="shared" si="24"/>
        <v>#N/A</v>
      </c>
      <c r="G528" s="2" t="e">
        <f t="shared" si="25"/>
        <v>#N/A</v>
      </c>
      <c r="H528" s="2" t="e">
        <f t="shared" si="26"/>
        <v>#N/A</v>
      </c>
    </row>
    <row r="529" spans="6:8" x14ac:dyDescent="0.25">
      <c r="F529" s="2" t="e">
        <f t="shared" si="24"/>
        <v>#N/A</v>
      </c>
      <c r="G529" s="2" t="e">
        <f t="shared" si="25"/>
        <v>#N/A</v>
      </c>
      <c r="H529" s="2" t="e">
        <f t="shared" si="26"/>
        <v>#N/A</v>
      </c>
    </row>
    <row r="530" spans="6:8" x14ac:dyDescent="0.25">
      <c r="F530" s="2" t="e">
        <f t="shared" si="24"/>
        <v>#N/A</v>
      </c>
      <c r="G530" s="2" t="e">
        <f t="shared" si="25"/>
        <v>#N/A</v>
      </c>
      <c r="H530" s="2" t="e">
        <f t="shared" si="26"/>
        <v>#N/A</v>
      </c>
    </row>
    <row r="531" spans="6:8" x14ac:dyDescent="0.25">
      <c r="F531" s="2" t="e">
        <f t="shared" si="24"/>
        <v>#N/A</v>
      </c>
      <c r="G531" s="2" t="e">
        <f t="shared" si="25"/>
        <v>#N/A</v>
      </c>
      <c r="H531" s="2" t="e">
        <f t="shared" si="26"/>
        <v>#N/A</v>
      </c>
    </row>
    <row r="532" spans="6:8" x14ac:dyDescent="0.25">
      <c r="F532" s="2" t="e">
        <f t="shared" si="24"/>
        <v>#N/A</v>
      </c>
      <c r="G532" s="2" t="e">
        <f t="shared" si="25"/>
        <v>#N/A</v>
      </c>
      <c r="H532" s="2" t="e">
        <f t="shared" si="26"/>
        <v>#N/A</v>
      </c>
    </row>
    <row r="533" spans="6:8" x14ac:dyDescent="0.25">
      <c r="F533" s="2" t="e">
        <f t="shared" si="24"/>
        <v>#N/A</v>
      </c>
      <c r="G533" s="2" t="e">
        <f t="shared" si="25"/>
        <v>#N/A</v>
      </c>
      <c r="H533" s="2" t="e">
        <f t="shared" si="26"/>
        <v>#N/A</v>
      </c>
    </row>
    <row r="534" spans="6:8" x14ac:dyDescent="0.25">
      <c r="F534" s="2" t="e">
        <f t="shared" si="24"/>
        <v>#N/A</v>
      </c>
      <c r="G534" s="2" t="e">
        <f t="shared" si="25"/>
        <v>#N/A</v>
      </c>
      <c r="H534" s="2" t="e">
        <f t="shared" si="26"/>
        <v>#N/A</v>
      </c>
    </row>
    <row r="535" spans="6:8" x14ac:dyDescent="0.25">
      <c r="F535" s="2" t="e">
        <f t="shared" si="24"/>
        <v>#N/A</v>
      </c>
      <c r="G535" s="2" t="e">
        <f t="shared" si="25"/>
        <v>#N/A</v>
      </c>
      <c r="H535" s="2" t="e">
        <f t="shared" si="26"/>
        <v>#N/A</v>
      </c>
    </row>
    <row r="536" spans="6:8" x14ac:dyDescent="0.25">
      <c r="F536" s="2" t="e">
        <f t="shared" si="24"/>
        <v>#N/A</v>
      </c>
      <c r="G536" s="2" t="e">
        <f t="shared" si="25"/>
        <v>#N/A</v>
      </c>
      <c r="H536" s="2" t="e">
        <f t="shared" si="26"/>
        <v>#N/A</v>
      </c>
    </row>
    <row r="537" spans="6:8" x14ac:dyDescent="0.25">
      <c r="F537" s="2" t="e">
        <f t="shared" si="24"/>
        <v>#N/A</v>
      </c>
      <c r="G537" s="2" t="e">
        <f t="shared" si="25"/>
        <v>#N/A</v>
      </c>
      <c r="H537" s="2" t="e">
        <f t="shared" si="26"/>
        <v>#N/A</v>
      </c>
    </row>
    <row r="538" spans="6:8" x14ac:dyDescent="0.25">
      <c r="F538" s="2" t="e">
        <f t="shared" si="24"/>
        <v>#N/A</v>
      </c>
      <c r="G538" s="2" t="e">
        <f t="shared" si="25"/>
        <v>#N/A</v>
      </c>
      <c r="H538" s="2" t="e">
        <f t="shared" si="26"/>
        <v>#N/A</v>
      </c>
    </row>
    <row r="539" spans="6:8" x14ac:dyDescent="0.25">
      <c r="F539" s="2" t="e">
        <f t="shared" si="24"/>
        <v>#N/A</v>
      </c>
      <c r="G539" s="2" t="e">
        <f t="shared" si="25"/>
        <v>#N/A</v>
      </c>
      <c r="H539" s="2" t="e">
        <f t="shared" si="26"/>
        <v>#N/A</v>
      </c>
    </row>
    <row r="540" spans="6:8" x14ac:dyDescent="0.25">
      <c r="F540" s="2" t="e">
        <f t="shared" si="24"/>
        <v>#N/A</v>
      </c>
      <c r="G540" s="2" t="e">
        <f t="shared" si="25"/>
        <v>#N/A</v>
      </c>
      <c r="H540" s="2" t="e">
        <f t="shared" si="26"/>
        <v>#N/A</v>
      </c>
    </row>
    <row r="541" spans="6:8" x14ac:dyDescent="0.25">
      <c r="F541" s="2" t="e">
        <f t="shared" si="24"/>
        <v>#N/A</v>
      </c>
      <c r="G541" s="2" t="e">
        <f t="shared" si="25"/>
        <v>#N/A</v>
      </c>
      <c r="H541" s="2" t="e">
        <f t="shared" si="26"/>
        <v>#N/A</v>
      </c>
    </row>
    <row r="542" spans="6:8" x14ac:dyDescent="0.25">
      <c r="F542" s="2" t="e">
        <f t="shared" si="24"/>
        <v>#N/A</v>
      </c>
      <c r="G542" s="2" t="e">
        <f t="shared" si="25"/>
        <v>#N/A</v>
      </c>
      <c r="H542" s="2" t="e">
        <f t="shared" si="26"/>
        <v>#N/A</v>
      </c>
    </row>
    <row r="543" spans="6:8" x14ac:dyDescent="0.25">
      <c r="F543" s="2" t="e">
        <f t="shared" si="24"/>
        <v>#N/A</v>
      </c>
      <c r="G543" s="2" t="e">
        <f t="shared" si="25"/>
        <v>#N/A</v>
      </c>
      <c r="H543" s="2" t="e">
        <f t="shared" si="26"/>
        <v>#N/A</v>
      </c>
    </row>
    <row r="544" spans="6:8" x14ac:dyDescent="0.25">
      <c r="F544" s="2" t="e">
        <f t="shared" si="24"/>
        <v>#N/A</v>
      </c>
      <c r="G544" s="2" t="e">
        <f t="shared" si="25"/>
        <v>#N/A</v>
      </c>
      <c r="H544" s="2" t="e">
        <f t="shared" si="26"/>
        <v>#N/A</v>
      </c>
    </row>
    <row r="545" spans="6:8" x14ac:dyDescent="0.25">
      <c r="F545" s="2" t="e">
        <f t="shared" si="24"/>
        <v>#N/A</v>
      </c>
      <c r="G545" s="2" t="e">
        <f t="shared" si="25"/>
        <v>#N/A</v>
      </c>
      <c r="H545" s="2" t="e">
        <f t="shared" si="26"/>
        <v>#N/A</v>
      </c>
    </row>
    <row r="546" spans="6:8" x14ac:dyDescent="0.25">
      <c r="F546" s="2" t="e">
        <f t="shared" si="24"/>
        <v>#N/A</v>
      </c>
      <c r="G546" s="2" t="e">
        <f t="shared" si="25"/>
        <v>#N/A</v>
      </c>
      <c r="H546" s="2" t="e">
        <f t="shared" si="26"/>
        <v>#N/A</v>
      </c>
    </row>
    <row r="547" spans="6:8" x14ac:dyDescent="0.25">
      <c r="F547" s="2" t="e">
        <f t="shared" si="24"/>
        <v>#N/A</v>
      </c>
      <c r="G547" s="2" t="e">
        <f t="shared" si="25"/>
        <v>#N/A</v>
      </c>
      <c r="H547" s="2" t="e">
        <f t="shared" si="26"/>
        <v>#N/A</v>
      </c>
    </row>
    <row r="548" spans="6:8" x14ac:dyDescent="0.25">
      <c r="F548" s="2" t="e">
        <f t="shared" si="24"/>
        <v>#N/A</v>
      </c>
      <c r="G548" s="2" t="e">
        <f t="shared" si="25"/>
        <v>#N/A</v>
      </c>
      <c r="H548" s="2" t="e">
        <f t="shared" si="26"/>
        <v>#N/A</v>
      </c>
    </row>
    <row r="549" spans="6:8" x14ac:dyDescent="0.25">
      <c r="F549" s="2" t="e">
        <f t="shared" si="24"/>
        <v>#N/A</v>
      </c>
      <c r="G549" s="2" t="e">
        <f t="shared" si="25"/>
        <v>#N/A</v>
      </c>
      <c r="H549" s="2" t="e">
        <f t="shared" si="26"/>
        <v>#N/A</v>
      </c>
    </row>
    <row r="550" spans="6:8" x14ac:dyDescent="0.25">
      <c r="F550" s="2" t="e">
        <f t="shared" si="24"/>
        <v>#N/A</v>
      </c>
      <c r="G550" s="2" t="e">
        <f t="shared" si="25"/>
        <v>#N/A</v>
      </c>
      <c r="H550" s="2" t="e">
        <f t="shared" si="26"/>
        <v>#N/A</v>
      </c>
    </row>
    <row r="551" spans="6:8" x14ac:dyDescent="0.25">
      <c r="F551" s="2" t="e">
        <f t="shared" si="24"/>
        <v>#N/A</v>
      </c>
      <c r="G551" s="2" t="e">
        <f t="shared" si="25"/>
        <v>#N/A</v>
      </c>
      <c r="H551" s="2" t="e">
        <f t="shared" si="26"/>
        <v>#N/A</v>
      </c>
    </row>
    <row r="552" spans="6:8" x14ac:dyDescent="0.25">
      <c r="F552" s="2" t="e">
        <f t="shared" si="24"/>
        <v>#N/A</v>
      </c>
      <c r="G552" s="2" t="e">
        <f t="shared" si="25"/>
        <v>#N/A</v>
      </c>
      <c r="H552" s="2" t="e">
        <f t="shared" si="26"/>
        <v>#N/A</v>
      </c>
    </row>
    <row r="553" spans="6:8" x14ac:dyDescent="0.25">
      <c r="F553" s="2" t="e">
        <f t="shared" si="24"/>
        <v>#N/A</v>
      </c>
      <c r="G553" s="2" t="e">
        <f t="shared" si="25"/>
        <v>#N/A</v>
      </c>
      <c r="H553" s="2" t="e">
        <f t="shared" si="26"/>
        <v>#N/A</v>
      </c>
    </row>
    <row r="554" spans="6:8" x14ac:dyDescent="0.25">
      <c r="F554" s="2" t="e">
        <f t="shared" si="24"/>
        <v>#N/A</v>
      </c>
      <c r="G554" s="2" t="e">
        <f t="shared" si="25"/>
        <v>#N/A</v>
      </c>
      <c r="H554" s="2" t="e">
        <f t="shared" si="26"/>
        <v>#N/A</v>
      </c>
    </row>
    <row r="555" spans="6:8" x14ac:dyDescent="0.25">
      <c r="F555" s="2" t="e">
        <f t="shared" si="24"/>
        <v>#N/A</v>
      </c>
      <c r="G555" s="2" t="e">
        <f t="shared" si="25"/>
        <v>#N/A</v>
      </c>
      <c r="H555" s="2" t="e">
        <f t="shared" si="26"/>
        <v>#N/A</v>
      </c>
    </row>
    <row r="556" spans="6:8" x14ac:dyDescent="0.25">
      <c r="F556" s="2" t="e">
        <f t="shared" si="24"/>
        <v>#N/A</v>
      </c>
      <c r="G556" s="2" t="e">
        <f t="shared" si="25"/>
        <v>#N/A</v>
      </c>
      <c r="H556" s="2" t="e">
        <f t="shared" si="26"/>
        <v>#N/A</v>
      </c>
    </row>
    <row r="557" spans="6:8" x14ac:dyDescent="0.25">
      <c r="F557" s="2" t="e">
        <f t="shared" si="24"/>
        <v>#N/A</v>
      </c>
      <c r="G557" s="2" t="e">
        <f t="shared" si="25"/>
        <v>#N/A</v>
      </c>
      <c r="H557" s="2" t="e">
        <f t="shared" si="26"/>
        <v>#N/A</v>
      </c>
    </row>
    <row r="558" spans="6:8" x14ac:dyDescent="0.25">
      <c r="F558" s="2" t="e">
        <f t="shared" si="24"/>
        <v>#N/A</v>
      </c>
      <c r="G558" s="2" t="e">
        <f t="shared" si="25"/>
        <v>#N/A</v>
      </c>
      <c r="H558" s="2" t="e">
        <f t="shared" si="26"/>
        <v>#N/A</v>
      </c>
    </row>
    <row r="559" spans="6:8" x14ac:dyDescent="0.25">
      <c r="F559" s="2" t="e">
        <f t="shared" si="24"/>
        <v>#N/A</v>
      </c>
      <c r="G559" s="2" t="e">
        <f t="shared" si="25"/>
        <v>#N/A</v>
      </c>
      <c r="H559" s="2" t="e">
        <f t="shared" si="26"/>
        <v>#N/A</v>
      </c>
    </row>
    <row r="560" spans="6:8" x14ac:dyDescent="0.25">
      <c r="F560" s="2" t="e">
        <f t="shared" si="24"/>
        <v>#N/A</v>
      </c>
      <c r="G560" s="2" t="e">
        <f t="shared" si="25"/>
        <v>#N/A</v>
      </c>
      <c r="H560" s="2" t="e">
        <f t="shared" si="26"/>
        <v>#N/A</v>
      </c>
    </row>
    <row r="561" spans="6:8" x14ac:dyDescent="0.25">
      <c r="F561" s="2" t="e">
        <f t="shared" si="24"/>
        <v>#N/A</v>
      </c>
      <c r="G561" s="2" t="e">
        <f t="shared" si="25"/>
        <v>#N/A</v>
      </c>
      <c r="H561" s="2" t="e">
        <f t="shared" si="26"/>
        <v>#N/A</v>
      </c>
    </row>
    <row r="562" spans="6:8" x14ac:dyDescent="0.25">
      <c r="F562" s="2" t="e">
        <f t="shared" si="24"/>
        <v>#N/A</v>
      </c>
      <c r="G562" s="2" t="e">
        <f t="shared" si="25"/>
        <v>#N/A</v>
      </c>
      <c r="H562" s="2" t="e">
        <f t="shared" si="26"/>
        <v>#N/A</v>
      </c>
    </row>
    <row r="563" spans="6:8" x14ac:dyDescent="0.25">
      <c r="F563" s="2" t="e">
        <f t="shared" si="24"/>
        <v>#N/A</v>
      </c>
      <c r="G563" s="2" t="e">
        <f t="shared" si="25"/>
        <v>#N/A</v>
      </c>
      <c r="H563" s="2" t="e">
        <f t="shared" si="26"/>
        <v>#N/A</v>
      </c>
    </row>
    <row r="564" spans="6:8" x14ac:dyDescent="0.25">
      <c r="F564" s="2" t="e">
        <f t="shared" si="24"/>
        <v>#N/A</v>
      </c>
      <c r="G564" s="2" t="e">
        <f t="shared" si="25"/>
        <v>#N/A</v>
      </c>
      <c r="H564" s="2" t="e">
        <f t="shared" si="26"/>
        <v>#N/A</v>
      </c>
    </row>
    <row r="565" spans="6:8" x14ac:dyDescent="0.25">
      <c r="F565" s="2" t="e">
        <f t="shared" si="24"/>
        <v>#N/A</v>
      </c>
      <c r="G565" s="2" t="e">
        <f t="shared" si="25"/>
        <v>#N/A</v>
      </c>
      <c r="H565" s="2" t="e">
        <f t="shared" si="26"/>
        <v>#N/A</v>
      </c>
    </row>
    <row r="566" spans="6:8" x14ac:dyDescent="0.25">
      <c r="F566" s="2" t="e">
        <f t="shared" si="24"/>
        <v>#N/A</v>
      </c>
      <c r="G566" s="2" t="e">
        <f t="shared" si="25"/>
        <v>#N/A</v>
      </c>
      <c r="H566" s="2" t="e">
        <f t="shared" si="26"/>
        <v>#N/A</v>
      </c>
    </row>
    <row r="567" spans="6:8" x14ac:dyDescent="0.25">
      <c r="F567" s="2" t="e">
        <f t="shared" si="24"/>
        <v>#N/A</v>
      </c>
      <c r="G567" s="2" t="e">
        <f t="shared" si="25"/>
        <v>#N/A</v>
      </c>
      <c r="H567" s="2" t="e">
        <f t="shared" si="26"/>
        <v>#N/A</v>
      </c>
    </row>
    <row r="568" spans="6:8" x14ac:dyDescent="0.25">
      <c r="F568" s="2" t="e">
        <f t="shared" si="24"/>
        <v>#N/A</v>
      </c>
      <c r="G568" s="2" t="e">
        <f t="shared" si="25"/>
        <v>#N/A</v>
      </c>
      <c r="H568" s="2" t="e">
        <f t="shared" si="26"/>
        <v>#N/A</v>
      </c>
    </row>
    <row r="569" spans="6:8" x14ac:dyDescent="0.25">
      <c r="F569" s="2" t="e">
        <f t="shared" si="24"/>
        <v>#N/A</v>
      </c>
      <c r="G569" s="2" t="e">
        <f t="shared" si="25"/>
        <v>#N/A</v>
      </c>
      <c r="H569" s="2" t="e">
        <f t="shared" si="26"/>
        <v>#N/A</v>
      </c>
    </row>
    <row r="570" spans="6:8" x14ac:dyDescent="0.25">
      <c r="F570" s="2" t="e">
        <f t="shared" si="24"/>
        <v>#N/A</v>
      </c>
      <c r="G570" s="2" t="e">
        <f t="shared" si="25"/>
        <v>#N/A</v>
      </c>
      <c r="H570" s="2" t="e">
        <f t="shared" si="26"/>
        <v>#N/A</v>
      </c>
    </row>
    <row r="571" spans="6:8" x14ac:dyDescent="0.25">
      <c r="F571" s="2" t="e">
        <f t="shared" si="24"/>
        <v>#N/A</v>
      </c>
      <c r="G571" s="2" t="e">
        <f t="shared" si="25"/>
        <v>#N/A</v>
      </c>
      <c r="H571" s="2" t="e">
        <f t="shared" si="26"/>
        <v>#N/A</v>
      </c>
    </row>
    <row r="572" spans="6:8" x14ac:dyDescent="0.25">
      <c r="F572" s="2" t="e">
        <f t="shared" si="24"/>
        <v>#N/A</v>
      </c>
      <c r="G572" s="2" t="e">
        <f t="shared" si="25"/>
        <v>#N/A</v>
      </c>
      <c r="H572" s="2" t="e">
        <f t="shared" si="26"/>
        <v>#N/A</v>
      </c>
    </row>
    <row r="573" spans="6:8" x14ac:dyDescent="0.25">
      <c r="F573" s="2" t="e">
        <f t="shared" si="24"/>
        <v>#N/A</v>
      </c>
      <c r="G573" s="2" t="e">
        <f t="shared" si="25"/>
        <v>#N/A</v>
      </c>
      <c r="H573" s="2" t="e">
        <f t="shared" si="26"/>
        <v>#N/A</v>
      </c>
    </row>
    <row r="574" spans="6:8" x14ac:dyDescent="0.25">
      <c r="F574" s="2" t="e">
        <f t="shared" si="24"/>
        <v>#N/A</v>
      </c>
      <c r="G574" s="2" t="e">
        <f t="shared" si="25"/>
        <v>#N/A</v>
      </c>
      <c r="H574" s="2" t="e">
        <f t="shared" si="26"/>
        <v>#N/A</v>
      </c>
    </row>
    <row r="575" spans="6:8" x14ac:dyDescent="0.25">
      <c r="F575" s="2" t="e">
        <f t="shared" si="24"/>
        <v>#N/A</v>
      </c>
      <c r="G575" s="2" t="e">
        <f t="shared" si="25"/>
        <v>#N/A</v>
      </c>
      <c r="H575" s="2" t="e">
        <f t="shared" si="26"/>
        <v>#N/A</v>
      </c>
    </row>
    <row r="576" spans="6:8" x14ac:dyDescent="0.25">
      <c r="F576" s="2" t="e">
        <f t="shared" si="24"/>
        <v>#N/A</v>
      </c>
      <c r="G576" s="2" t="e">
        <f t="shared" si="25"/>
        <v>#N/A</v>
      </c>
      <c r="H576" s="2" t="e">
        <f t="shared" si="26"/>
        <v>#N/A</v>
      </c>
    </row>
    <row r="577" spans="6:8" x14ac:dyDescent="0.25">
      <c r="F577" s="2" t="e">
        <f t="shared" si="24"/>
        <v>#N/A</v>
      </c>
      <c r="G577" s="2" t="e">
        <f t="shared" si="25"/>
        <v>#N/A</v>
      </c>
      <c r="H577" s="2" t="e">
        <f t="shared" si="26"/>
        <v>#N/A</v>
      </c>
    </row>
    <row r="578" spans="6:8" x14ac:dyDescent="0.25">
      <c r="F578" s="2" t="e">
        <f t="shared" si="24"/>
        <v>#N/A</v>
      </c>
      <c r="G578" s="2" t="e">
        <f t="shared" si="25"/>
        <v>#N/A</v>
      </c>
      <c r="H578" s="2" t="e">
        <f t="shared" si="26"/>
        <v>#N/A</v>
      </c>
    </row>
    <row r="579" spans="6:8" x14ac:dyDescent="0.25">
      <c r="F579" s="2" t="e">
        <f t="shared" si="24"/>
        <v>#N/A</v>
      </c>
      <c r="G579" s="2" t="e">
        <f t="shared" si="25"/>
        <v>#N/A</v>
      </c>
      <c r="H579" s="2" t="e">
        <f t="shared" si="26"/>
        <v>#N/A</v>
      </c>
    </row>
    <row r="580" spans="6:8" x14ac:dyDescent="0.25">
      <c r="F580" s="2" t="e">
        <f t="shared" si="24"/>
        <v>#N/A</v>
      </c>
      <c r="G580" s="2" t="e">
        <f t="shared" si="25"/>
        <v>#N/A</v>
      </c>
      <c r="H580" s="2" t="e">
        <f t="shared" si="26"/>
        <v>#N/A</v>
      </c>
    </row>
    <row r="581" spans="6:8" x14ac:dyDescent="0.25">
      <c r="F581" s="2" t="e">
        <f t="shared" si="24"/>
        <v>#N/A</v>
      </c>
      <c r="G581" s="2" t="e">
        <f t="shared" si="25"/>
        <v>#N/A</v>
      </c>
      <c r="H581" s="2" t="e">
        <f t="shared" si="26"/>
        <v>#N/A</v>
      </c>
    </row>
    <row r="582" spans="6:8" x14ac:dyDescent="0.25">
      <c r="F582" s="2" t="e">
        <f t="shared" ref="F582:F645" si="27">IF(F581&lt;2,F581+$D$6,NA())</f>
        <v>#N/A</v>
      </c>
      <c r="G582" s="2" t="e">
        <f t="shared" ref="G582:G645" si="28">IF(ISNA(F582), NA(),(1+$D$3*$D$6)*G581+$D$6*$D$4)</f>
        <v>#N/A</v>
      </c>
      <c r="H582" s="2" t="e">
        <f t="shared" ref="H582:H645" si="29">IF(ISNA(G582),NA(),$D$7*EXP($D$3*F582)-($D$4/$D$3))</f>
        <v>#N/A</v>
      </c>
    </row>
    <row r="583" spans="6:8" x14ac:dyDescent="0.25">
      <c r="F583" s="2" t="e">
        <f t="shared" si="27"/>
        <v>#N/A</v>
      </c>
      <c r="G583" s="2" t="e">
        <f t="shared" si="28"/>
        <v>#N/A</v>
      </c>
      <c r="H583" s="2" t="e">
        <f t="shared" si="29"/>
        <v>#N/A</v>
      </c>
    </row>
    <row r="584" spans="6:8" x14ac:dyDescent="0.25">
      <c r="F584" s="2" t="e">
        <f t="shared" si="27"/>
        <v>#N/A</v>
      </c>
      <c r="G584" s="2" t="e">
        <f t="shared" si="28"/>
        <v>#N/A</v>
      </c>
      <c r="H584" s="2" t="e">
        <f t="shared" si="29"/>
        <v>#N/A</v>
      </c>
    </row>
    <row r="585" spans="6:8" x14ac:dyDescent="0.25">
      <c r="F585" s="2" t="e">
        <f t="shared" si="27"/>
        <v>#N/A</v>
      </c>
      <c r="G585" s="2" t="e">
        <f t="shared" si="28"/>
        <v>#N/A</v>
      </c>
      <c r="H585" s="2" t="e">
        <f t="shared" si="29"/>
        <v>#N/A</v>
      </c>
    </row>
    <row r="586" spans="6:8" x14ac:dyDescent="0.25">
      <c r="F586" s="2" t="e">
        <f t="shared" si="27"/>
        <v>#N/A</v>
      </c>
      <c r="G586" s="2" t="e">
        <f t="shared" si="28"/>
        <v>#N/A</v>
      </c>
      <c r="H586" s="2" t="e">
        <f t="shared" si="29"/>
        <v>#N/A</v>
      </c>
    </row>
    <row r="587" spans="6:8" x14ac:dyDescent="0.25">
      <c r="F587" s="2" t="e">
        <f t="shared" si="27"/>
        <v>#N/A</v>
      </c>
      <c r="G587" s="2" t="e">
        <f t="shared" si="28"/>
        <v>#N/A</v>
      </c>
      <c r="H587" s="2" t="e">
        <f t="shared" si="29"/>
        <v>#N/A</v>
      </c>
    </row>
    <row r="588" spans="6:8" x14ac:dyDescent="0.25">
      <c r="F588" s="2" t="e">
        <f t="shared" si="27"/>
        <v>#N/A</v>
      </c>
      <c r="G588" s="2" t="e">
        <f t="shared" si="28"/>
        <v>#N/A</v>
      </c>
      <c r="H588" s="2" t="e">
        <f t="shared" si="29"/>
        <v>#N/A</v>
      </c>
    </row>
    <row r="589" spans="6:8" x14ac:dyDescent="0.25">
      <c r="F589" s="2" t="e">
        <f t="shared" si="27"/>
        <v>#N/A</v>
      </c>
      <c r="G589" s="2" t="e">
        <f t="shared" si="28"/>
        <v>#N/A</v>
      </c>
      <c r="H589" s="2" t="e">
        <f t="shared" si="29"/>
        <v>#N/A</v>
      </c>
    </row>
    <row r="590" spans="6:8" x14ac:dyDescent="0.25">
      <c r="F590" s="2" t="e">
        <f t="shared" si="27"/>
        <v>#N/A</v>
      </c>
      <c r="G590" s="2" t="e">
        <f t="shared" si="28"/>
        <v>#N/A</v>
      </c>
      <c r="H590" s="2" t="e">
        <f t="shared" si="29"/>
        <v>#N/A</v>
      </c>
    </row>
    <row r="591" spans="6:8" x14ac:dyDescent="0.25">
      <c r="F591" s="2" t="e">
        <f t="shared" si="27"/>
        <v>#N/A</v>
      </c>
      <c r="G591" s="2" t="e">
        <f t="shared" si="28"/>
        <v>#N/A</v>
      </c>
      <c r="H591" s="2" t="e">
        <f t="shared" si="29"/>
        <v>#N/A</v>
      </c>
    </row>
    <row r="592" spans="6:8" x14ac:dyDescent="0.25">
      <c r="F592" s="2" t="e">
        <f t="shared" si="27"/>
        <v>#N/A</v>
      </c>
      <c r="G592" s="2" t="e">
        <f t="shared" si="28"/>
        <v>#N/A</v>
      </c>
      <c r="H592" s="2" t="e">
        <f t="shared" si="29"/>
        <v>#N/A</v>
      </c>
    </row>
    <row r="593" spans="6:8" x14ac:dyDescent="0.25">
      <c r="F593" s="2" t="e">
        <f t="shared" si="27"/>
        <v>#N/A</v>
      </c>
      <c r="G593" s="2" t="e">
        <f t="shared" si="28"/>
        <v>#N/A</v>
      </c>
      <c r="H593" s="2" t="e">
        <f t="shared" si="29"/>
        <v>#N/A</v>
      </c>
    </row>
    <row r="594" spans="6:8" x14ac:dyDescent="0.25">
      <c r="F594" s="2" t="e">
        <f t="shared" si="27"/>
        <v>#N/A</v>
      </c>
      <c r="G594" s="2" t="e">
        <f t="shared" si="28"/>
        <v>#N/A</v>
      </c>
      <c r="H594" s="2" t="e">
        <f t="shared" si="29"/>
        <v>#N/A</v>
      </c>
    </row>
    <row r="595" spans="6:8" x14ac:dyDescent="0.25">
      <c r="F595" s="2" t="e">
        <f t="shared" si="27"/>
        <v>#N/A</v>
      </c>
      <c r="G595" s="2" t="e">
        <f t="shared" si="28"/>
        <v>#N/A</v>
      </c>
      <c r="H595" s="2" t="e">
        <f t="shared" si="29"/>
        <v>#N/A</v>
      </c>
    </row>
    <row r="596" spans="6:8" x14ac:dyDescent="0.25">
      <c r="F596" s="2" t="e">
        <f t="shared" si="27"/>
        <v>#N/A</v>
      </c>
      <c r="G596" s="2" t="e">
        <f t="shared" si="28"/>
        <v>#N/A</v>
      </c>
      <c r="H596" s="2" t="e">
        <f t="shared" si="29"/>
        <v>#N/A</v>
      </c>
    </row>
    <row r="597" spans="6:8" x14ac:dyDescent="0.25">
      <c r="F597" s="2" t="e">
        <f t="shared" si="27"/>
        <v>#N/A</v>
      </c>
      <c r="G597" s="2" t="e">
        <f t="shared" si="28"/>
        <v>#N/A</v>
      </c>
      <c r="H597" s="2" t="e">
        <f t="shared" si="29"/>
        <v>#N/A</v>
      </c>
    </row>
    <row r="598" spans="6:8" x14ac:dyDescent="0.25">
      <c r="F598" s="2" t="e">
        <f t="shared" si="27"/>
        <v>#N/A</v>
      </c>
      <c r="G598" s="2" t="e">
        <f t="shared" si="28"/>
        <v>#N/A</v>
      </c>
      <c r="H598" s="2" t="e">
        <f t="shared" si="29"/>
        <v>#N/A</v>
      </c>
    </row>
    <row r="599" spans="6:8" x14ac:dyDescent="0.25">
      <c r="F599" s="2" t="e">
        <f t="shared" si="27"/>
        <v>#N/A</v>
      </c>
      <c r="G599" s="2" t="e">
        <f t="shared" si="28"/>
        <v>#N/A</v>
      </c>
      <c r="H599" s="2" t="e">
        <f t="shared" si="29"/>
        <v>#N/A</v>
      </c>
    </row>
    <row r="600" spans="6:8" x14ac:dyDescent="0.25">
      <c r="F600" s="2" t="e">
        <f t="shared" si="27"/>
        <v>#N/A</v>
      </c>
      <c r="G600" s="2" t="e">
        <f t="shared" si="28"/>
        <v>#N/A</v>
      </c>
      <c r="H600" s="2" t="e">
        <f t="shared" si="29"/>
        <v>#N/A</v>
      </c>
    </row>
    <row r="601" spans="6:8" x14ac:dyDescent="0.25">
      <c r="F601" s="2" t="e">
        <f t="shared" si="27"/>
        <v>#N/A</v>
      </c>
      <c r="G601" s="2" t="e">
        <f t="shared" si="28"/>
        <v>#N/A</v>
      </c>
      <c r="H601" s="2" t="e">
        <f t="shared" si="29"/>
        <v>#N/A</v>
      </c>
    </row>
    <row r="602" spans="6:8" x14ac:dyDescent="0.25">
      <c r="F602" s="2" t="e">
        <f t="shared" si="27"/>
        <v>#N/A</v>
      </c>
      <c r="G602" s="2" t="e">
        <f t="shared" si="28"/>
        <v>#N/A</v>
      </c>
      <c r="H602" s="2" t="e">
        <f t="shared" si="29"/>
        <v>#N/A</v>
      </c>
    </row>
    <row r="603" spans="6:8" x14ac:dyDescent="0.25">
      <c r="F603" s="2" t="e">
        <f t="shared" si="27"/>
        <v>#N/A</v>
      </c>
      <c r="G603" s="2" t="e">
        <f t="shared" si="28"/>
        <v>#N/A</v>
      </c>
      <c r="H603" s="2" t="e">
        <f t="shared" si="29"/>
        <v>#N/A</v>
      </c>
    </row>
    <row r="604" spans="6:8" x14ac:dyDescent="0.25">
      <c r="F604" s="2" t="e">
        <f t="shared" si="27"/>
        <v>#N/A</v>
      </c>
      <c r="G604" s="2" t="e">
        <f t="shared" si="28"/>
        <v>#N/A</v>
      </c>
      <c r="H604" s="2" t="e">
        <f t="shared" si="29"/>
        <v>#N/A</v>
      </c>
    </row>
    <row r="605" spans="6:8" x14ac:dyDescent="0.25">
      <c r="F605" s="2" t="e">
        <f t="shared" si="27"/>
        <v>#N/A</v>
      </c>
      <c r="G605" s="2" t="e">
        <f t="shared" si="28"/>
        <v>#N/A</v>
      </c>
      <c r="H605" s="2" t="e">
        <f t="shared" si="29"/>
        <v>#N/A</v>
      </c>
    </row>
    <row r="606" spans="6:8" x14ac:dyDescent="0.25">
      <c r="F606" s="2" t="e">
        <f t="shared" si="27"/>
        <v>#N/A</v>
      </c>
      <c r="G606" s="2" t="e">
        <f t="shared" si="28"/>
        <v>#N/A</v>
      </c>
      <c r="H606" s="2" t="e">
        <f t="shared" si="29"/>
        <v>#N/A</v>
      </c>
    </row>
    <row r="607" spans="6:8" x14ac:dyDescent="0.25">
      <c r="F607" s="2" t="e">
        <f t="shared" si="27"/>
        <v>#N/A</v>
      </c>
      <c r="G607" s="2" t="e">
        <f t="shared" si="28"/>
        <v>#N/A</v>
      </c>
      <c r="H607" s="2" t="e">
        <f t="shared" si="29"/>
        <v>#N/A</v>
      </c>
    </row>
    <row r="608" spans="6:8" x14ac:dyDescent="0.25">
      <c r="F608" s="2" t="e">
        <f t="shared" si="27"/>
        <v>#N/A</v>
      </c>
      <c r="G608" s="2" t="e">
        <f t="shared" si="28"/>
        <v>#N/A</v>
      </c>
      <c r="H608" s="2" t="e">
        <f t="shared" si="29"/>
        <v>#N/A</v>
      </c>
    </row>
    <row r="609" spans="6:8" x14ac:dyDescent="0.25">
      <c r="F609" s="2" t="e">
        <f t="shared" si="27"/>
        <v>#N/A</v>
      </c>
      <c r="G609" s="2" t="e">
        <f t="shared" si="28"/>
        <v>#N/A</v>
      </c>
      <c r="H609" s="2" t="e">
        <f t="shared" si="29"/>
        <v>#N/A</v>
      </c>
    </row>
    <row r="610" spans="6:8" x14ac:dyDescent="0.25">
      <c r="F610" s="2" t="e">
        <f t="shared" si="27"/>
        <v>#N/A</v>
      </c>
      <c r="G610" s="2" t="e">
        <f t="shared" si="28"/>
        <v>#N/A</v>
      </c>
      <c r="H610" s="2" t="e">
        <f t="shared" si="29"/>
        <v>#N/A</v>
      </c>
    </row>
    <row r="611" spans="6:8" x14ac:dyDescent="0.25">
      <c r="F611" s="2" t="e">
        <f t="shared" si="27"/>
        <v>#N/A</v>
      </c>
      <c r="G611" s="2" t="e">
        <f t="shared" si="28"/>
        <v>#N/A</v>
      </c>
      <c r="H611" s="2" t="e">
        <f t="shared" si="29"/>
        <v>#N/A</v>
      </c>
    </row>
    <row r="612" spans="6:8" x14ac:dyDescent="0.25">
      <c r="F612" s="2" t="e">
        <f t="shared" si="27"/>
        <v>#N/A</v>
      </c>
      <c r="G612" s="2" t="e">
        <f t="shared" si="28"/>
        <v>#N/A</v>
      </c>
      <c r="H612" s="2" t="e">
        <f t="shared" si="29"/>
        <v>#N/A</v>
      </c>
    </row>
    <row r="613" spans="6:8" x14ac:dyDescent="0.25">
      <c r="F613" s="2" t="e">
        <f t="shared" si="27"/>
        <v>#N/A</v>
      </c>
      <c r="G613" s="2" t="e">
        <f t="shared" si="28"/>
        <v>#N/A</v>
      </c>
      <c r="H613" s="2" t="e">
        <f t="shared" si="29"/>
        <v>#N/A</v>
      </c>
    </row>
    <row r="614" spans="6:8" x14ac:dyDescent="0.25">
      <c r="F614" s="2" t="e">
        <f t="shared" si="27"/>
        <v>#N/A</v>
      </c>
      <c r="G614" s="2" t="e">
        <f t="shared" si="28"/>
        <v>#N/A</v>
      </c>
      <c r="H614" s="2" t="e">
        <f t="shared" si="29"/>
        <v>#N/A</v>
      </c>
    </row>
    <row r="615" spans="6:8" x14ac:dyDescent="0.25">
      <c r="F615" s="2" t="e">
        <f t="shared" si="27"/>
        <v>#N/A</v>
      </c>
      <c r="G615" s="2" t="e">
        <f t="shared" si="28"/>
        <v>#N/A</v>
      </c>
      <c r="H615" s="2" t="e">
        <f t="shared" si="29"/>
        <v>#N/A</v>
      </c>
    </row>
    <row r="616" spans="6:8" x14ac:dyDescent="0.25">
      <c r="F616" s="2" t="e">
        <f t="shared" si="27"/>
        <v>#N/A</v>
      </c>
      <c r="G616" s="2" t="e">
        <f t="shared" si="28"/>
        <v>#N/A</v>
      </c>
      <c r="H616" s="2" t="e">
        <f t="shared" si="29"/>
        <v>#N/A</v>
      </c>
    </row>
    <row r="617" spans="6:8" x14ac:dyDescent="0.25">
      <c r="F617" s="2" t="e">
        <f t="shared" si="27"/>
        <v>#N/A</v>
      </c>
      <c r="G617" s="2" t="e">
        <f t="shared" si="28"/>
        <v>#N/A</v>
      </c>
      <c r="H617" s="2" t="e">
        <f t="shared" si="29"/>
        <v>#N/A</v>
      </c>
    </row>
    <row r="618" spans="6:8" x14ac:dyDescent="0.25">
      <c r="F618" s="2" t="e">
        <f t="shared" si="27"/>
        <v>#N/A</v>
      </c>
      <c r="G618" s="2" t="e">
        <f t="shared" si="28"/>
        <v>#N/A</v>
      </c>
      <c r="H618" s="2" t="e">
        <f t="shared" si="29"/>
        <v>#N/A</v>
      </c>
    </row>
    <row r="619" spans="6:8" x14ac:dyDescent="0.25">
      <c r="F619" s="2" t="e">
        <f t="shared" si="27"/>
        <v>#N/A</v>
      </c>
      <c r="G619" s="2" t="e">
        <f t="shared" si="28"/>
        <v>#N/A</v>
      </c>
      <c r="H619" s="2" t="e">
        <f t="shared" si="29"/>
        <v>#N/A</v>
      </c>
    </row>
    <row r="620" spans="6:8" x14ac:dyDescent="0.25">
      <c r="F620" s="2" t="e">
        <f t="shared" si="27"/>
        <v>#N/A</v>
      </c>
      <c r="G620" s="2" t="e">
        <f t="shared" si="28"/>
        <v>#N/A</v>
      </c>
      <c r="H620" s="2" t="e">
        <f t="shared" si="29"/>
        <v>#N/A</v>
      </c>
    </row>
    <row r="621" spans="6:8" x14ac:dyDescent="0.25">
      <c r="F621" s="2" t="e">
        <f t="shared" si="27"/>
        <v>#N/A</v>
      </c>
      <c r="G621" s="2" t="e">
        <f t="shared" si="28"/>
        <v>#N/A</v>
      </c>
      <c r="H621" s="2" t="e">
        <f t="shared" si="29"/>
        <v>#N/A</v>
      </c>
    </row>
    <row r="622" spans="6:8" x14ac:dyDescent="0.25">
      <c r="F622" s="2" t="e">
        <f t="shared" si="27"/>
        <v>#N/A</v>
      </c>
      <c r="G622" s="2" t="e">
        <f t="shared" si="28"/>
        <v>#N/A</v>
      </c>
      <c r="H622" s="2" t="e">
        <f t="shared" si="29"/>
        <v>#N/A</v>
      </c>
    </row>
    <row r="623" spans="6:8" x14ac:dyDescent="0.25">
      <c r="F623" s="2" t="e">
        <f t="shared" si="27"/>
        <v>#N/A</v>
      </c>
      <c r="G623" s="2" t="e">
        <f t="shared" si="28"/>
        <v>#N/A</v>
      </c>
      <c r="H623" s="2" t="e">
        <f t="shared" si="29"/>
        <v>#N/A</v>
      </c>
    </row>
    <row r="624" spans="6:8" x14ac:dyDescent="0.25">
      <c r="F624" s="2" t="e">
        <f t="shared" si="27"/>
        <v>#N/A</v>
      </c>
      <c r="G624" s="2" t="e">
        <f t="shared" si="28"/>
        <v>#N/A</v>
      </c>
      <c r="H624" s="2" t="e">
        <f t="shared" si="29"/>
        <v>#N/A</v>
      </c>
    </row>
    <row r="625" spans="6:8" x14ac:dyDescent="0.25">
      <c r="F625" s="2" t="e">
        <f t="shared" si="27"/>
        <v>#N/A</v>
      </c>
      <c r="G625" s="2" t="e">
        <f t="shared" si="28"/>
        <v>#N/A</v>
      </c>
      <c r="H625" s="2" t="e">
        <f t="shared" si="29"/>
        <v>#N/A</v>
      </c>
    </row>
    <row r="626" spans="6:8" x14ac:dyDescent="0.25">
      <c r="F626" s="2" t="e">
        <f t="shared" si="27"/>
        <v>#N/A</v>
      </c>
      <c r="G626" s="2" t="e">
        <f t="shared" si="28"/>
        <v>#N/A</v>
      </c>
      <c r="H626" s="2" t="e">
        <f t="shared" si="29"/>
        <v>#N/A</v>
      </c>
    </row>
    <row r="627" spans="6:8" x14ac:dyDescent="0.25">
      <c r="F627" s="2" t="e">
        <f t="shared" si="27"/>
        <v>#N/A</v>
      </c>
      <c r="G627" s="2" t="e">
        <f t="shared" si="28"/>
        <v>#N/A</v>
      </c>
      <c r="H627" s="2" t="e">
        <f t="shared" si="29"/>
        <v>#N/A</v>
      </c>
    </row>
    <row r="628" spans="6:8" x14ac:dyDescent="0.25">
      <c r="F628" s="2" t="e">
        <f t="shared" si="27"/>
        <v>#N/A</v>
      </c>
      <c r="G628" s="2" t="e">
        <f t="shared" si="28"/>
        <v>#N/A</v>
      </c>
      <c r="H628" s="2" t="e">
        <f t="shared" si="29"/>
        <v>#N/A</v>
      </c>
    </row>
    <row r="629" spans="6:8" x14ac:dyDescent="0.25">
      <c r="F629" s="2" t="e">
        <f t="shared" si="27"/>
        <v>#N/A</v>
      </c>
      <c r="G629" s="2" t="e">
        <f t="shared" si="28"/>
        <v>#N/A</v>
      </c>
      <c r="H629" s="2" t="e">
        <f t="shared" si="29"/>
        <v>#N/A</v>
      </c>
    </row>
    <row r="630" spans="6:8" x14ac:dyDescent="0.25">
      <c r="F630" s="2" t="e">
        <f t="shared" si="27"/>
        <v>#N/A</v>
      </c>
      <c r="G630" s="2" t="e">
        <f t="shared" si="28"/>
        <v>#N/A</v>
      </c>
      <c r="H630" s="2" t="e">
        <f t="shared" si="29"/>
        <v>#N/A</v>
      </c>
    </row>
    <row r="631" spans="6:8" x14ac:dyDescent="0.25">
      <c r="F631" s="2" t="e">
        <f t="shared" si="27"/>
        <v>#N/A</v>
      </c>
      <c r="G631" s="2" t="e">
        <f t="shared" si="28"/>
        <v>#N/A</v>
      </c>
      <c r="H631" s="2" t="e">
        <f t="shared" si="29"/>
        <v>#N/A</v>
      </c>
    </row>
    <row r="632" spans="6:8" x14ac:dyDescent="0.25">
      <c r="F632" s="2" t="e">
        <f t="shared" si="27"/>
        <v>#N/A</v>
      </c>
      <c r="G632" s="2" t="e">
        <f t="shared" si="28"/>
        <v>#N/A</v>
      </c>
      <c r="H632" s="2" t="e">
        <f t="shared" si="29"/>
        <v>#N/A</v>
      </c>
    </row>
    <row r="633" spans="6:8" x14ac:dyDescent="0.25">
      <c r="F633" s="2" t="e">
        <f t="shared" si="27"/>
        <v>#N/A</v>
      </c>
      <c r="G633" s="2" t="e">
        <f t="shared" si="28"/>
        <v>#N/A</v>
      </c>
      <c r="H633" s="2" t="e">
        <f t="shared" si="29"/>
        <v>#N/A</v>
      </c>
    </row>
    <row r="634" spans="6:8" x14ac:dyDescent="0.25">
      <c r="F634" s="2" t="e">
        <f t="shared" si="27"/>
        <v>#N/A</v>
      </c>
      <c r="G634" s="2" t="e">
        <f t="shared" si="28"/>
        <v>#N/A</v>
      </c>
      <c r="H634" s="2" t="e">
        <f t="shared" si="29"/>
        <v>#N/A</v>
      </c>
    </row>
    <row r="635" spans="6:8" x14ac:dyDescent="0.25">
      <c r="F635" s="2" t="e">
        <f t="shared" si="27"/>
        <v>#N/A</v>
      </c>
      <c r="G635" s="2" t="e">
        <f t="shared" si="28"/>
        <v>#N/A</v>
      </c>
      <c r="H635" s="2" t="e">
        <f t="shared" si="29"/>
        <v>#N/A</v>
      </c>
    </row>
    <row r="636" spans="6:8" x14ac:dyDescent="0.25">
      <c r="F636" s="2" t="e">
        <f t="shared" si="27"/>
        <v>#N/A</v>
      </c>
      <c r="G636" s="2" t="e">
        <f t="shared" si="28"/>
        <v>#N/A</v>
      </c>
      <c r="H636" s="2" t="e">
        <f t="shared" si="29"/>
        <v>#N/A</v>
      </c>
    </row>
    <row r="637" spans="6:8" x14ac:dyDescent="0.25">
      <c r="F637" s="2" t="e">
        <f t="shared" si="27"/>
        <v>#N/A</v>
      </c>
      <c r="G637" s="2" t="e">
        <f t="shared" si="28"/>
        <v>#N/A</v>
      </c>
      <c r="H637" s="2" t="e">
        <f t="shared" si="29"/>
        <v>#N/A</v>
      </c>
    </row>
    <row r="638" spans="6:8" x14ac:dyDescent="0.25">
      <c r="F638" s="2" t="e">
        <f t="shared" si="27"/>
        <v>#N/A</v>
      </c>
      <c r="G638" s="2" t="e">
        <f t="shared" si="28"/>
        <v>#N/A</v>
      </c>
      <c r="H638" s="2" t="e">
        <f t="shared" si="29"/>
        <v>#N/A</v>
      </c>
    </row>
    <row r="639" spans="6:8" x14ac:dyDescent="0.25">
      <c r="F639" s="2" t="e">
        <f t="shared" si="27"/>
        <v>#N/A</v>
      </c>
      <c r="G639" s="2" t="e">
        <f t="shared" si="28"/>
        <v>#N/A</v>
      </c>
      <c r="H639" s="2" t="e">
        <f t="shared" si="29"/>
        <v>#N/A</v>
      </c>
    </row>
    <row r="640" spans="6:8" x14ac:dyDescent="0.25">
      <c r="F640" s="2" t="e">
        <f t="shared" si="27"/>
        <v>#N/A</v>
      </c>
      <c r="G640" s="2" t="e">
        <f t="shared" si="28"/>
        <v>#N/A</v>
      </c>
      <c r="H640" s="2" t="e">
        <f t="shared" si="29"/>
        <v>#N/A</v>
      </c>
    </row>
    <row r="641" spans="6:8" x14ac:dyDescent="0.25">
      <c r="F641" s="2" t="e">
        <f t="shared" si="27"/>
        <v>#N/A</v>
      </c>
      <c r="G641" s="2" t="e">
        <f t="shared" si="28"/>
        <v>#N/A</v>
      </c>
      <c r="H641" s="2" t="e">
        <f t="shared" si="29"/>
        <v>#N/A</v>
      </c>
    </row>
    <row r="642" spans="6:8" x14ac:dyDescent="0.25">
      <c r="F642" s="2" t="e">
        <f t="shared" si="27"/>
        <v>#N/A</v>
      </c>
      <c r="G642" s="2" t="e">
        <f t="shared" si="28"/>
        <v>#N/A</v>
      </c>
      <c r="H642" s="2" t="e">
        <f t="shared" si="29"/>
        <v>#N/A</v>
      </c>
    </row>
    <row r="643" spans="6:8" x14ac:dyDescent="0.25">
      <c r="F643" s="2" t="e">
        <f t="shared" si="27"/>
        <v>#N/A</v>
      </c>
      <c r="G643" s="2" t="e">
        <f t="shared" si="28"/>
        <v>#N/A</v>
      </c>
      <c r="H643" s="2" t="e">
        <f t="shared" si="29"/>
        <v>#N/A</v>
      </c>
    </row>
    <row r="644" spans="6:8" x14ac:dyDescent="0.25">
      <c r="F644" s="2" t="e">
        <f t="shared" si="27"/>
        <v>#N/A</v>
      </c>
      <c r="G644" s="2" t="e">
        <f t="shared" si="28"/>
        <v>#N/A</v>
      </c>
      <c r="H644" s="2" t="e">
        <f t="shared" si="29"/>
        <v>#N/A</v>
      </c>
    </row>
    <row r="645" spans="6:8" x14ac:dyDescent="0.25">
      <c r="F645" s="2" t="e">
        <f t="shared" si="27"/>
        <v>#N/A</v>
      </c>
      <c r="G645" s="2" t="e">
        <f t="shared" si="28"/>
        <v>#N/A</v>
      </c>
      <c r="H645" s="2" t="e">
        <f t="shared" si="29"/>
        <v>#N/A</v>
      </c>
    </row>
    <row r="646" spans="6:8" x14ac:dyDescent="0.25">
      <c r="F646" s="2" t="e">
        <f t="shared" ref="F646:F709" si="30">IF(F645&lt;2,F645+$D$6,NA())</f>
        <v>#N/A</v>
      </c>
      <c r="G646" s="2" t="e">
        <f t="shared" ref="G646:G709" si="31">IF(ISNA(F646), NA(),(1+$D$3*$D$6)*G645+$D$6*$D$4)</f>
        <v>#N/A</v>
      </c>
      <c r="H646" s="2" t="e">
        <f t="shared" ref="H646:H709" si="32">IF(ISNA(G646),NA(),$D$7*EXP($D$3*F646)-($D$4/$D$3))</f>
        <v>#N/A</v>
      </c>
    </row>
    <row r="647" spans="6:8" x14ac:dyDescent="0.25">
      <c r="F647" s="2" t="e">
        <f t="shared" si="30"/>
        <v>#N/A</v>
      </c>
      <c r="G647" s="2" t="e">
        <f t="shared" si="31"/>
        <v>#N/A</v>
      </c>
      <c r="H647" s="2" t="e">
        <f t="shared" si="32"/>
        <v>#N/A</v>
      </c>
    </row>
    <row r="648" spans="6:8" x14ac:dyDescent="0.25">
      <c r="F648" s="2" t="e">
        <f t="shared" si="30"/>
        <v>#N/A</v>
      </c>
      <c r="G648" s="2" t="e">
        <f t="shared" si="31"/>
        <v>#N/A</v>
      </c>
      <c r="H648" s="2" t="e">
        <f t="shared" si="32"/>
        <v>#N/A</v>
      </c>
    </row>
    <row r="649" spans="6:8" x14ac:dyDescent="0.25">
      <c r="F649" s="2" t="e">
        <f t="shared" si="30"/>
        <v>#N/A</v>
      </c>
      <c r="G649" s="2" t="e">
        <f t="shared" si="31"/>
        <v>#N/A</v>
      </c>
      <c r="H649" s="2" t="e">
        <f t="shared" si="32"/>
        <v>#N/A</v>
      </c>
    </row>
    <row r="650" spans="6:8" x14ac:dyDescent="0.25">
      <c r="F650" s="2" t="e">
        <f t="shared" si="30"/>
        <v>#N/A</v>
      </c>
      <c r="G650" s="2" t="e">
        <f t="shared" si="31"/>
        <v>#N/A</v>
      </c>
      <c r="H650" s="2" t="e">
        <f t="shared" si="32"/>
        <v>#N/A</v>
      </c>
    </row>
    <row r="651" spans="6:8" x14ac:dyDescent="0.25">
      <c r="F651" s="2" t="e">
        <f t="shared" si="30"/>
        <v>#N/A</v>
      </c>
      <c r="G651" s="2" t="e">
        <f t="shared" si="31"/>
        <v>#N/A</v>
      </c>
      <c r="H651" s="2" t="e">
        <f t="shared" si="32"/>
        <v>#N/A</v>
      </c>
    </row>
    <row r="652" spans="6:8" x14ac:dyDescent="0.25">
      <c r="F652" s="2" t="e">
        <f t="shared" si="30"/>
        <v>#N/A</v>
      </c>
      <c r="G652" s="2" t="e">
        <f t="shared" si="31"/>
        <v>#N/A</v>
      </c>
      <c r="H652" s="2" t="e">
        <f t="shared" si="32"/>
        <v>#N/A</v>
      </c>
    </row>
    <row r="653" spans="6:8" x14ac:dyDescent="0.25">
      <c r="F653" s="2" t="e">
        <f t="shared" si="30"/>
        <v>#N/A</v>
      </c>
      <c r="G653" s="2" t="e">
        <f t="shared" si="31"/>
        <v>#N/A</v>
      </c>
      <c r="H653" s="2" t="e">
        <f t="shared" si="32"/>
        <v>#N/A</v>
      </c>
    </row>
    <row r="654" spans="6:8" x14ac:dyDescent="0.25">
      <c r="F654" s="2" t="e">
        <f t="shared" si="30"/>
        <v>#N/A</v>
      </c>
      <c r="G654" s="2" t="e">
        <f t="shared" si="31"/>
        <v>#N/A</v>
      </c>
      <c r="H654" s="2" t="e">
        <f t="shared" si="32"/>
        <v>#N/A</v>
      </c>
    </row>
    <row r="655" spans="6:8" x14ac:dyDescent="0.25">
      <c r="F655" s="2" t="e">
        <f t="shared" si="30"/>
        <v>#N/A</v>
      </c>
      <c r="G655" s="2" t="e">
        <f t="shared" si="31"/>
        <v>#N/A</v>
      </c>
      <c r="H655" s="2" t="e">
        <f t="shared" si="32"/>
        <v>#N/A</v>
      </c>
    </row>
    <row r="656" spans="6:8" x14ac:dyDescent="0.25">
      <c r="F656" s="2" t="e">
        <f t="shared" si="30"/>
        <v>#N/A</v>
      </c>
      <c r="G656" s="2" t="e">
        <f t="shared" si="31"/>
        <v>#N/A</v>
      </c>
      <c r="H656" s="2" t="e">
        <f t="shared" si="32"/>
        <v>#N/A</v>
      </c>
    </row>
    <row r="657" spans="6:8" x14ac:dyDescent="0.25">
      <c r="F657" s="2" t="e">
        <f t="shared" si="30"/>
        <v>#N/A</v>
      </c>
      <c r="G657" s="2" t="e">
        <f t="shared" si="31"/>
        <v>#N/A</v>
      </c>
      <c r="H657" s="2" t="e">
        <f t="shared" si="32"/>
        <v>#N/A</v>
      </c>
    </row>
    <row r="658" spans="6:8" x14ac:dyDescent="0.25">
      <c r="F658" s="2" t="e">
        <f t="shared" si="30"/>
        <v>#N/A</v>
      </c>
      <c r="G658" s="2" t="e">
        <f t="shared" si="31"/>
        <v>#N/A</v>
      </c>
      <c r="H658" s="2" t="e">
        <f t="shared" si="32"/>
        <v>#N/A</v>
      </c>
    </row>
    <row r="659" spans="6:8" x14ac:dyDescent="0.25">
      <c r="F659" s="2" t="e">
        <f t="shared" si="30"/>
        <v>#N/A</v>
      </c>
      <c r="G659" s="2" t="e">
        <f t="shared" si="31"/>
        <v>#N/A</v>
      </c>
      <c r="H659" s="2" t="e">
        <f t="shared" si="32"/>
        <v>#N/A</v>
      </c>
    </row>
    <row r="660" spans="6:8" x14ac:dyDescent="0.25">
      <c r="F660" s="2" t="e">
        <f t="shared" si="30"/>
        <v>#N/A</v>
      </c>
      <c r="G660" s="2" t="e">
        <f t="shared" si="31"/>
        <v>#N/A</v>
      </c>
      <c r="H660" s="2" t="e">
        <f t="shared" si="32"/>
        <v>#N/A</v>
      </c>
    </row>
    <row r="661" spans="6:8" x14ac:dyDescent="0.25">
      <c r="F661" s="2" t="e">
        <f t="shared" si="30"/>
        <v>#N/A</v>
      </c>
      <c r="G661" s="2" t="e">
        <f t="shared" si="31"/>
        <v>#N/A</v>
      </c>
      <c r="H661" s="2" t="e">
        <f t="shared" si="32"/>
        <v>#N/A</v>
      </c>
    </row>
    <row r="662" spans="6:8" x14ac:dyDescent="0.25">
      <c r="F662" s="2" t="e">
        <f t="shared" si="30"/>
        <v>#N/A</v>
      </c>
      <c r="G662" s="2" t="e">
        <f t="shared" si="31"/>
        <v>#N/A</v>
      </c>
      <c r="H662" s="2" t="e">
        <f t="shared" si="32"/>
        <v>#N/A</v>
      </c>
    </row>
    <row r="663" spans="6:8" x14ac:dyDescent="0.25">
      <c r="F663" s="2" t="e">
        <f t="shared" si="30"/>
        <v>#N/A</v>
      </c>
      <c r="G663" s="2" t="e">
        <f t="shared" si="31"/>
        <v>#N/A</v>
      </c>
      <c r="H663" s="2" t="e">
        <f t="shared" si="32"/>
        <v>#N/A</v>
      </c>
    </row>
    <row r="664" spans="6:8" x14ac:dyDescent="0.25">
      <c r="F664" s="2" t="e">
        <f t="shared" si="30"/>
        <v>#N/A</v>
      </c>
      <c r="G664" s="2" t="e">
        <f t="shared" si="31"/>
        <v>#N/A</v>
      </c>
      <c r="H664" s="2" t="e">
        <f t="shared" si="32"/>
        <v>#N/A</v>
      </c>
    </row>
    <row r="665" spans="6:8" x14ac:dyDescent="0.25">
      <c r="F665" s="2" t="e">
        <f t="shared" si="30"/>
        <v>#N/A</v>
      </c>
      <c r="G665" s="2" t="e">
        <f t="shared" si="31"/>
        <v>#N/A</v>
      </c>
      <c r="H665" s="2" t="e">
        <f t="shared" si="32"/>
        <v>#N/A</v>
      </c>
    </row>
    <row r="666" spans="6:8" x14ac:dyDescent="0.25">
      <c r="F666" s="2" t="e">
        <f t="shared" si="30"/>
        <v>#N/A</v>
      </c>
      <c r="G666" s="2" t="e">
        <f t="shared" si="31"/>
        <v>#N/A</v>
      </c>
      <c r="H666" s="2" t="e">
        <f t="shared" si="32"/>
        <v>#N/A</v>
      </c>
    </row>
    <row r="667" spans="6:8" x14ac:dyDescent="0.25">
      <c r="F667" s="2" t="e">
        <f t="shared" si="30"/>
        <v>#N/A</v>
      </c>
      <c r="G667" s="2" t="e">
        <f t="shared" si="31"/>
        <v>#N/A</v>
      </c>
      <c r="H667" s="2" t="e">
        <f t="shared" si="32"/>
        <v>#N/A</v>
      </c>
    </row>
    <row r="668" spans="6:8" x14ac:dyDescent="0.25">
      <c r="F668" s="2" t="e">
        <f t="shared" si="30"/>
        <v>#N/A</v>
      </c>
      <c r="G668" s="2" t="e">
        <f t="shared" si="31"/>
        <v>#N/A</v>
      </c>
      <c r="H668" s="2" t="e">
        <f t="shared" si="32"/>
        <v>#N/A</v>
      </c>
    </row>
    <row r="669" spans="6:8" x14ac:dyDescent="0.25">
      <c r="F669" s="2" t="e">
        <f t="shared" si="30"/>
        <v>#N/A</v>
      </c>
      <c r="G669" s="2" t="e">
        <f t="shared" si="31"/>
        <v>#N/A</v>
      </c>
      <c r="H669" s="2" t="e">
        <f t="shared" si="32"/>
        <v>#N/A</v>
      </c>
    </row>
    <row r="670" spans="6:8" x14ac:dyDescent="0.25">
      <c r="F670" s="2" t="e">
        <f t="shared" si="30"/>
        <v>#N/A</v>
      </c>
      <c r="G670" s="2" t="e">
        <f t="shared" si="31"/>
        <v>#N/A</v>
      </c>
      <c r="H670" s="2" t="e">
        <f t="shared" si="32"/>
        <v>#N/A</v>
      </c>
    </row>
    <row r="671" spans="6:8" x14ac:dyDescent="0.25">
      <c r="F671" s="2" t="e">
        <f t="shared" si="30"/>
        <v>#N/A</v>
      </c>
      <c r="G671" s="2" t="e">
        <f t="shared" si="31"/>
        <v>#N/A</v>
      </c>
      <c r="H671" s="2" t="e">
        <f t="shared" si="32"/>
        <v>#N/A</v>
      </c>
    </row>
    <row r="672" spans="6:8" x14ac:dyDescent="0.25">
      <c r="F672" s="2" t="e">
        <f t="shared" si="30"/>
        <v>#N/A</v>
      </c>
      <c r="G672" s="2" t="e">
        <f t="shared" si="31"/>
        <v>#N/A</v>
      </c>
      <c r="H672" s="2" t="e">
        <f t="shared" si="32"/>
        <v>#N/A</v>
      </c>
    </row>
    <row r="673" spans="6:8" x14ac:dyDescent="0.25">
      <c r="F673" s="2" t="e">
        <f t="shared" si="30"/>
        <v>#N/A</v>
      </c>
      <c r="G673" s="2" t="e">
        <f t="shared" si="31"/>
        <v>#N/A</v>
      </c>
      <c r="H673" s="2" t="e">
        <f t="shared" si="32"/>
        <v>#N/A</v>
      </c>
    </row>
    <row r="674" spans="6:8" x14ac:dyDescent="0.25">
      <c r="F674" s="2" t="e">
        <f t="shared" si="30"/>
        <v>#N/A</v>
      </c>
      <c r="G674" s="2" t="e">
        <f t="shared" si="31"/>
        <v>#N/A</v>
      </c>
      <c r="H674" s="2" t="e">
        <f t="shared" si="32"/>
        <v>#N/A</v>
      </c>
    </row>
    <row r="675" spans="6:8" x14ac:dyDescent="0.25">
      <c r="F675" s="2" t="e">
        <f t="shared" si="30"/>
        <v>#N/A</v>
      </c>
      <c r="G675" s="2" t="e">
        <f t="shared" si="31"/>
        <v>#N/A</v>
      </c>
      <c r="H675" s="2" t="e">
        <f t="shared" si="32"/>
        <v>#N/A</v>
      </c>
    </row>
    <row r="676" spans="6:8" x14ac:dyDescent="0.25">
      <c r="F676" s="2" t="e">
        <f t="shared" si="30"/>
        <v>#N/A</v>
      </c>
      <c r="G676" s="2" t="e">
        <f t="shared" si="31"/>
        <v>#N/A</v>
      </c>
      <c r="H676" s="2" t="e">
        <f t="shared" si="32"/>
        <v>#N/A</v>
      </c>
    </row>
    <row r="677" spans="6:8" x14ac:dyDescent="0.25">
      <c r="F677" s="2" t="e">
        <f t="shared" si="30"/>
        <v>#N/A</v>
      </c>
      <c r="G677" s="2" t="e">
        <f t="shared" si="31"/>
        <v>#N/A</v>
      </c>
      <c r="H677" s="2" t="e">
        <f t="shared" si="32"/>
        <v>#N/A</v>
      </c>
    </row>
    <row r="678" spans="6:8" x14ac:dyDescent="0.25">
      <c r="F678" s="2" t="e">
        <f t="shared" si="30"/>
        <v>#N/A</v>
      </c>
      <c r="G678" s="2" t="e">
        <f t="shared" si="31"/>
        <v>#N/A</v>
      </c>
      <c r="H678" s="2" t="e">
        <f t="shared" si="32"/>
        <v>#N/A</v>
      </c>
    </row>
    <row r="679" spans="6:8" x14ac:dyDescent="0.25">
      <c r="F679" s="2" t="e">
        <f t="shared" si="30"/>
        <v>#N/A</v>
      </c>
      <c r="G679" s="2" t="e">
        <f t="shared" si="31"/>
        <v>#N/A</v>
      </c>
      <c r="H679" s="2" t="e">
        <f t="shared" si="32"/>
        <v>#N/A</v>
      </c>
    </row>
    <row r="680" spans="6:8" x14ac:dyDescent="0.25">
      <c r="F680" s="2" t="e">
        <f t="shared" si="30"/>
        <v>#N/A</v>
      </c>
      <c r="G680" s="2" t="e">
        <f t="shared" si="31"/>
        <v>#N/A</v>
      </c>
      <c r="H680" s="2" t="e">
        <f t="shared" si="32"/>
        <v>#N/A</v>
      </c>
    </row>
    <row r="681" spans="6:8" x14ac:dyDescent="0.25">
      <c r="F681" s="2" t="e">
        <f t="shared" si="30"/>
        <v>#N/A</v>
      </c>
      <c r="G681" s="2" t="e">
        <f t="shared" si="31"/>
        <v>#N/A</v>
      </c>
      <c r="H681" s="2" t="e">
        <f t="shared" si="32"/>
        <v>#N/A</v>
      </c>
    </row>
    <row r="682" spans="6:8" x14ac:dyDescent="0.25">
      <c r="F682" s="2" t="e">
        <f t="shared" si="30"/>
        <v>#N/A</v>
      </c>
      <c r="G682" s="2" t="e">
        <f t="shared" si="31"/>
        <v>#N/A</v>
      </c>
      <c r="H682" s="2" t="e">
        <f t="shared" si="32"/>
        <v>#N/A</v>
      </c>
    </row>
    <row r="683" spans="6:8" x14ac:dyDescent="0.25">
      <c r="F683" s="2" t="e">
        <f t="shared" si="30"/>
        <v>#N/A</v>
      </c>
      <c r="G683" s="2" t="e">
        <f t="shared" si="31"/>
        <v>#N/A</v>
      </c>
      <c r="H683" s="2" t="e">
        <f t="shared" si="32"/>
        <v>#N/A</v>
      </c>
    </row>
    <row r="684" spans="6:8" x14ac:dyDescent="0.25">
      <c r="F684" s="2" t="e">
        <f t="shared" si="30"/>
        <v>#N/A</v>
      </c>
      <c r="G684" s="2" t="e">
        <f t="shared" si="31"/>
        <v>#N/A</v>
      </c>
      <c r="H684" s="2" t="e">
        <f t="shared" si="32"/>
        <v>#N/A</v>
      </c>
    </row>
    <row r="685" spans="6:8" x14ac:dyDescent="0.25">
      <c r="F685" s="2" t="e">
        <f t="shared" si="30"/>
        <v>#N/A</v>
      </c>
      <c r="G685" s="2" t="e">
        <f t="shared" si="31"/>
        <v>#N/A</v>
      </c>
      <c r="H685" s="2" t="e">
        <f t="shared" si="32"/>
        <v>#N/A</v>
      </c>
    </row>
    <row r="686" spans="6:8" x14ac:dyDescent="0.25">
      <c r="F686" s="2" t="e">
        <f t="shared" si="30"/>
        <v>#N/A</v>
      </c>
      <c r="G686" s="2" t="e">
        <f t="shared" si="31"/>
        <v>#N/A</v>
      </c>
      <c r="H686" s="2" t="e">
        <f t="shared" si="32"/>
        <v>#N/A</v>
      </c>
    </row>
    <row r="687" spans="6:8" x14ac:dyDescent="0.25">
      <c r="F687" s="2" t="e">
        <f t="shared" si="30"/>
        <v>#N/A</v>
      </c>
      <c r="G687" s="2" t="e">
        <f t="shared" si="31"/>
        <v>#N/A</v>
      </c>
      <c r="H687" s="2" t="e">
        <f t="shared" si="32"/>
        <v>#N/A</v>
      </c>
    </row>
    <row r="688" spans="6:8" x14ac:dyDescent="0.25">
      <c r="F688" s="2" t="e">
        <f t="shared" si="30"/>
        <v>#N/A</v>
      </c>
      <c r="G688" s="2" t="e">
        <f t="shared" si="31"/>
        <v>#N/A</v>
      </c>
      <c r="H688" s="2" t="e">
        <f t="shared" si="32"/>
        <v>#N/A</v>
      </c>
    </row>
    <row r="689" spans="6:8" x14ac:dyDescent="0.25">
      <c r="F689" s="2" t="e">
        <f t="shared" si="30"/>
        <v>#N/A</v>
      </c>
      <c r="G689" s="2" t="e">
        <f t="shared" si="31"/>
        <v>#N/A</v>
      </c>
      <c r="H689" s="2" t="e">
        <f t="shared" si="32"/>
        <v>#N/A</v>
      </c>
    </row>
    <row r="690" spans="6:8" x14ac:dyDescent="0.25">
      <c r="F690" s="2" t="e">
        <f t="shared" si="30"/>
        <v>#N/A</v>
      </c>
      <c r="G690" s="2" t="e">
        <f t="shared" si="31"/>
        <v>#N/A</v>
      </c>
      <c r="H690" s="2" t="e">
        <f t="shared" si="32"/>
        <v>#N/A</v>
      </c>
    </row>
    <row r="691" spans="6:8" x14ac:dyDescent="0.25">
      <c r="F691" s="2" t="e">
        <f t="shared" si="30"/>
        <v>#N/A</v>
      </c>
      <c r="G691" s="2" t="e">
        <f t="shared" si="31"/>
        <v>#N/A</v>
      </c>
      <c r="H691" s="2" t="e">
        <f t="shared" si="32"/>
        <v>#N/A</v>
      </c>
    </row>
    <row r="692" spans="6:8" x14ac:dyDescent="0.25">
      <c r="F692" s="2" t="e">
        <f t="shared" si="30"/>
        <v>#N/A</v>
      </c>
      <c r="G692" s="2" t="e">
        <f t="shared" si="31"/>
        <v>#N/A</v>
      </c>
      <c r="H692" s="2" t="e">
        <f t="shared" si="32"/>
        <v>#N/A</v>
      </c>
    </row>
    <row r="693" spans="6:8" x14ac:dyDescent="0.25">
      <c r="F693" s="2" t="e">
        <f t="shared" si="30"/>
        <v>#N/A</v>
      </c>
      <c r="G693" s="2" t="e">
        <f t="shared" si="31"/>
        <v>#N/A</v>
      </c>
      <c r="H693" s="2" t="e">
        <f t="shared" si="32"/>
        <v>#N/A</v>
      </c>
    </row>
    <row r="694" spans="6:8" x14ac:dyDescent="0.25">
      <c r="F694" s="2" t="e">
        <f t="shared" si="30"/>
        <v>#N/A</v>
      </c>
      <c r="G694" s="2" t="e">
        <f t="shared" si="31"/>
        <v>#N/A</v>
      </c>
      <c r="H694" s="2" t="e">
        <f t="shared" si="32"/>
        <v>#N/A</v>
      </c>
    </row>
    <row r="695" spans="6:8" x14ac:dyDescent="0.25">
      <c r="F695" s="2" t="e">
        <f t="shared" si="30"/>
        <v>#N/A</v>
      </c>
      <c r="G695" s="2" t="e">
        <f t="shared" si="31"/>
        <v>#N/A</v>
      </c>
      <c r="H695" s="2" t="e">
        <f t="shared" si="32"/>
        <v>#N/A</v>
      </c>
    </row>
    <row r="696" spans="6:8" x14ac:dyDescent="0.25">
      <c r="F696" s="2" t="e">
        <f t="shared" si="30"/>
        <v>#N/A</v>
      </c>
      <c r="G696" s="2" t="e">
        <f t="shared" si="31"/>
        <v>#N/A</v>
      </c>
      <c r="H696" s="2" t="e">
        <f t="shared" si="32"/>
        <v>#N/A</v>
      </c>
    </row>
    <row r="697" spans="6:8" x14ac:dyDescent="0.25">
      <c r="F697" s="2" t="e">
        <f t="shared" si="30"/>
        <v>#N/A</v>
      </c>
      <c r="G697" s="2" t="e">
        <f t="shared" si="31"/>
        <v>#N/A</v>
      </c>
      <c r="H697" s="2" t="e">
        <f t="shared" si="32"/>
        <v>#N/A</v>
      </c>
    </row>
    <row r="698" spans="6:8" x14ac:dyDescent="0.25">
      <c r="F698" s="2" t="e">
        <f t="shared" si="30"/>
        <v>#N/A</v>
      </c>
      <c r="G698" s="2" t="e">
        <f t="shared" si="31"/>
        <v>#N/A</v>
      </c>
      <c r="H698" s="2" t="e">
        <f t="shared" si="32"/>
        <v>#N/A</v>
      </c>
    </row>
    <row r="699" spans="6:8" x14ac:dyDescent="0.25">
      <c r="F699" s="2" t="e">
        <f t="shared" si="30"/>
        <v>#N/A</v>
      </c>
      <c r="G699" s="2" t="e">
        <f t="shared" si="31"/>
        <v>#N/A</v>
      </c>
      <c r="H699" s="2" t="e">
        <f t="shared" si="32"/>
        <v>#N/A</v>
      </c>
    </row>
    <row r="700" spans="6:8" x14ac:dyDescent="0.25">
      <c r="F700" s="2" t="e">
        <f t="shared" si="30"/>
        <v>#N/A</v>
      </c>
      <c r="G700" s="2" t="e">
        <f t="shared" si="31"/>
        <v>#N/A</v>
      </c>
      <c r="H700" s="2" t="e">
        <f t="shared" si="32"/>
        <v>#N/A</v>
      </c>
    </row>
    <row r="701" spans="6:8" x14ac:dyDescent="0.25">
      <c r="F701" s="2" t="e">
        <f t="shared" si="30"/>
        <v>#N/A</v>
      </c>
      <c r="G701" s="2" t="e">
        <f t="shared" si="31"/>
        <v>#N/A</v>
      </c>
      <c r="H701" s="2" t="e">
        <f t="shared" si="32"/>
        <v>#N/A</v>
      </c>
    </row>
    <row r="702" spans="6:8" x14ac:dyDescent="0.25">
      <c r="F702" s="2" t="e">
        <f t="shared" si="30"/>
        <v>#N/A</v>
      </c>
      <c r="G702" s="2" t="e">
        <f t="shared" si="31"/>
        <v>#N/A</v>
      </c>
      <c r="H702" s="2" t="e">
        <f t="shared" si="32"/>
        <v>#N/A</v>
      </c>
    </row>
    <row r="703" spans="6:8" x14ac:dyDescent="0.25">
      <c r="F703" s="2" t="e">
        <f t="shared" si="30"/>
        <v>#N/A</v>
      </c>
      <c r="G703" s="2" t="e">
        <f t="shared" si="31"/>
        <v>#N/A</v>
      </c>
      <c r="H703" s="2" t="e">
        <f t="shared" si="32"/>
        <v>#N/A</v>
      </c>
    </row>
    <row r="704" spans="6:8" x14ac:dyDescent="0.25">
      <c r="F704" s="2" t="e">
        <f t="shared" si="30"/>
        <v>#N/A</v>
      </c>
      <c r="G704" s="2" t="e">
        <f t="shared" si="31"/>
        <v>#N/A</v>
      </c>
      <c r="H704" s="2" t="e">
        <f t="shared" si="32"/>
        <v>#N/A</v>
      </c>
    </row>
    <row r="705" spans="6:8" x14ac:dyDescent="0.25">
      <c r="F705" s="2" t="e">
        <f t="shared" si="30"/>
        <v>#N/A</v>
      </c>
      <c r="G705" s="2" t="e">
        <f t="shared" si="31"/>
        <v>#N/A</v>
      </c>
      <c r="H705" s="2" t="e">
        <f t="shared" si="32"/>
        <v>#N/A</v>
      </c>
    </row>
    <row r="706" spans="6:8" x14ac:dyDescent="0.25">
      <c r="F706" s="2" t="e">
        <f t="shared" si="30"/>
        <v>#N/A</v>
      </c>
      <c r="G706" s="2" t="e">
        <f t="shared" si="31"/>
        <v>#N/A</v>
      </c>
      <c r="H706" s="2" t="e">
        <f t="shared" si="32"/>
        <v>#N/A</v>
      </c>
    </row>
    <row r="707" spans="6:8" x14ac:dyDescent="0.25">
      <c r="F707" s="2" t="e">
        <f t="shared" si="30"/>
        <v>#N/A</v>
      </c>
      <c r="G707" s="2" t="e">
        <f t="shared" si="31"/>
        <v>#N/A</v>
      </c>
      <c r="H707" s="2" t="e">
        <f t="shared" si="32"/>
        <v>#N/A</v>
      </c>
    </row>
    <row r="708" spans="6:8" x14ac:dyDescent="0.25">
      <c r="F708" s="2" t="e">
        <f t="shared" si="30"/>
        <v>#N/A</v>
      </c>
      <c r="G708" s="2" t="e">
        <f t="shared" si="31"/>
        <v>#N/A</v>
      </c>
      <c r="H708" s="2" t="e">
        <f t="shared" si="32"/>
        <v>#N/A</v>
      </c>
    </row>
    <row r="709" spans="6:8" x14ac:dyDescent="0.25">
      <c r="F709" s="2" t="e">
        <f t="shared" si="30"/>
        <v>#N/A</v>
      </c>
      <c r="G709" s="2" t="e">
        <f t="shared" si="31"/>
        <v>#N/A</v>
      </c>
      <c r="H709" s="2" t="e">
        <f t="shared" si="32"/>
        <v>#N/A</v>
      </c>
    </row>
    <row r="710" spans="6:8" x14ac:dyDescent="0.25">
      <c r="F710" s="2" t="e">
        <f t="shared" ref="F710:F773" si="33">IF(F709&lt;2,F709+$D$6,NA())</f>
        <v>#N/A</v>
      </c>
      <c r="G710" s="2" t="e">
        <f t="shared" ref="G710:G773" si="34">IF(ISNA(F710), NA(),(1+$D$3*$D$6)*G709+$D$6*$D$4)</f>
        <v>#N/A</v>
      </c>
      <c r="H710" s="2" t="e">
        <f t="shared" ref="H710:H773" si="35">IF(ISNA(G710),NA(),$D$7*EXP($D$3*F710)-($D$4/$D$3))</f>
        <v>#N/A</v>
      </c>
    </row>
    <row r="711" spans="6:8" x14ac:dyDescent="0.25">
      <c r="F711" s="2" t="e">
        <f t="shared" si="33"/>
        <v>#N/A</v>
      </c>
      <c r="G711" s="2" t="e">
        <f t="shared" si="34"/>
        <v>#N/A</v>
      </c>
      <c r="H711" s="2" t="e">
        <f t="shared" si="35"/>
        <v>#N/A</v>
      </c>
    </row>
    <row r="712" spans="6:8" x14ac:dyDescent="0.25">
      <c r="F712" s="2" t="e">
        <f t="shared" si="33"/>
        <v>#N/A</v>
      </c>
      <c r="G712" s="2" t="e">
        <f t="shared" si="34"/>
        <v>#N/A</v>
      </c>
      <c r="H712" s="2" t="e">
        <f t="shared" si="35"/>
        <v>#N/A</v>
      </c>
    </row>
    <row r="713" spans="6:8" x14ac:dyDescent="0.25">
      <c r="F713" s="2" t="e">
        <f t="shared" si="33"/>
        <v>#N/A</v>
      </c>
      <c r="G713" s="2" t="e">
        <f t="shared" si="34"/>
        <v>#N/A</v>
      </c>
      <c r="H713" s="2" t="e">
        <f t="shared" si="35"/>
        <v>#N/A</v>
      </c>
    </row>
    <row r="714" spans="6:8" x14ac:dyDescent="0.25">
      <c r="F714" s="2" t="e">
        <f t="shared" si="33"/>
        <v>#N/A</v>
      </c>
      <c r="G714" s="2" t="e">
        <f t="shared" si="34"/>
        <v>#N/A</v>
      </c>
      <c r="H714" s="2" t="e">
        <f t="shared" si="35"/>
        <v>#N/A</v>
      </c>
    </row>
    <row r="715" spans="6:8" x14ac:dyDescent="0.25">
      <c r="F715" s="2" t="e">
        <f t="shared" si="33"/>
        <v>#N/A</v>
      </c>
      <c r="G715" s="2" t="e">
        <f t="shared" si="34"/>
        <v>#N/A</v>
      </c>
      <c r="H715" s="2" t="e">
        <f t="shared" si="35"/>
        <v>#N/A</v>
      </c>
    </row>
    <row r="716" spans="6:8" x14ac:dyDescent="0.25">
      <c r="F716" s="2" t="e">
        <f t="shared" si="33"/>
        <v>#N/A</v>
      </c>
      <c r="G716" s="2" t="e">
        <f t="shared" si="34"/>
        <v>#N/A</v>
      </c>
      <c r="H716" s="2" t="e">
        <f t="shared" si="35"/>
        <v>#N/A</v>
      </c>
    </row>
    <row r="717" spans="6:8" x14ac:dyDescent="0.25">
      <c r="F717" s="2" t="e">
        <f t="shared" si="33"/>
        <v>#N/A</v>
      </c>
      <c r="G717" s="2" t="e">
        <f t="shared" si="34"/>
        <v>#N/A</v>
      </c>
      <c r="H717" s="2" t="e">
        <f t="shared" si="35"/>
        <v>#N/A</v>
      </c>
    </row>
    <row r="718" spans="6:8" x14ac:dyDescent="0.25">
      <c r="F718" s="2" t="e">
        <f t="shared" si="33"/>
        <v>#N/A</v>
      </c>
      <c r="G718" s="2" t="e">
        <f t="shared" si="34"/>
        <v>#N/A</v>
      </c>
      <c r="H718" s="2" t="e">
        <f t="shared" si="35"/>
        <v>#N/A</v>
      </c>
    </row>
    <row r="719" spans="6:8" x14ac:dyDescent="0.25">
      <c r="F719" s="2" t="e">
        <f t="shared" si="33"/>
        <v>#N/A</v>
      </c>
      <c r="G719" s="2" t="e">
        <f t="shared" si="34"/>
        <v>#N/A</v>
      </c>
      <c r="H719" s="2" t="e">
        <f t="shared" si="35"/>
        <v>#N/A</v>
      </c>
    </row>
    <row r="720" spans="6:8" x14ac:dyDescent="0.25">
      <c r="F720" s="2" t="e">
        <f t="shared" si="33"/>
        <v>#N/A</v>
      </c>
      <c r="G720" s="2" t="e">
        <f t="shared" si="34"/>
        <v>#N/A</v>
      </c>
      <c r="H720" s="2" t="e">
        <f t="shared" si="35"/>
        <v>#N/A</v>
      </c>
    </row>
    <row r="721" spans="6:8" x14ac:dyDescent="0.25">
      <c r="F721" s="2" t="e">
        <f t="shared" si="33"/>
        <v>#N/A</v>
      </c>
      <c r="G721" s="2" t="e">
        <f t="shared" si="34"/>
        <v>#N/A</v>
      </c>
      <c r="H721" s="2" t="e">
        <f t="shared" si="35"/>
        <v>#N/A</v>
      </c>
    </row>
    <row r="722" spans="6:8" x14ac:dyDescent="0.25">
      <c r="F722" s="2" t="e">
        <f t="shared" si="33"/>
        <v>#N/A</v>
      </c>
      <c r="G722" s="2" t="e">
        <f t="shared" si="34"/>
        <v>#N/A</v>
      </c>
      <c r="H722" s="2" t="e">
        <f t="shared" si="35"/>
        <v>#N/A</v>
      </c>
    </row>
    <row r="723" spans="6:8" x14ac:dyDescent="0.25">
      <c r="F723" s="2" t="e">
        <f t="shared" si="33"/>
        <v>#N/A</v>
      </c>
      <c r="G723" s="2" t="e">
        <f t="shared" si="34"/>
        <v>#N/A</v>
      </c>
      <c r="H723" s="2" t="e">
        <f t="shared" si="35"/>
        <v>#N/A</v>
      </c>
    </row>
    <row r="724" spans="6:8" x14ac:dyDescent="0.25">
      <c r="F724" s="2" t="e">
        <f t="shared" si="33"/>
        <v>#N/A</v>
      </c>
      <c r="G724" s="2" t="e">
        <f t="shared" si="34"/>
        <v>#N/A</v>
      </c>
      <c r="H724" s="2" t="e">
        <f t="shared" si="35"/>
        <v>#N/A</v>
      </c>
    </row>
    <row r="725" spans="6:8" x14ac:dyDescent="0.25">
      <c r="F725" s="2" t="e">
        <f t="shared" si="33"/>
        <v>#N/A</v>
      </c>
      <c r="G725" s="2" t="e">
        <f t="shared" si="34"/>
        <v>#N/A</v>
      </c>
      <c r="H725" s="2" t="e">
        <f t="shared" si="35"/>
        <v>#N/A</v>
      </c>
    </row>
    <row r="726" spans="6:8" x14ac:dyDescent="0.25">
      <c r="F726" s="2" t="e">
        <f t="shared" si="33"/>
        <v>#N/A</v>
      </c>
      <c r="G726" s="2" t="e">
        <f t="shared" si="34"/>
        <v>#N/A</v>
      </c>
      <c r="H726" s="2" t="e">
        <f t="shared" si="35"/>
        <v>#N/A</v>
      </c>
    </row>
    <row r="727" spans="6:8" x14ac:dyDescent="0.25">
      <c r="F727" s="2" t="e">
        <f t="shared" si="33"/>
        <v>#N/A</v>
      </c>
      <c r="G727" s="2" t="e">
        <f t="shared" si="34"/>
        <v>#N/A</v>
      </c>
      <c r="H727" s="2" t="e">
        <f t="shared" si="35"/>
        <v>#N/A</v>
      </c>
    </row>
    <row r="728" spans="6:8" x14ac:dyDescent="0.25">
      <c r="F728" s="2" t="e">
        <f t="shared" si="33"/>
        <v>#N/A</v>
      </c>
      <c r="G728" s="2" t="e">
        <f t="shared" si="34"/>
        <v>#N/A</v>
      </c>
      <c r="H728" s="2" t="e">
        <f t="shared" si="35"/>
        <v>#N/A</v>
      </c>
    </row>
    <row r="729" spans="6:8" x14ac:dyDescent="0.25">
      <c r="F729" s="2" t="e">
        <f t="shared" si="33"/>
        <v>#N/A</v>
      </c>
      <c r="G729" s="2" t="e">
        <f t="shared" si="34"/>
        <v>#N/A</v>
      </c>
      <c r="H729" s="2" t="e">
        <f t="shared" si="35"/>
        <v>#N/A</v>
      </c>
    </row>
    <row r="730" spans="6:8" x14ac:dyDescent="0.25">
      <c r="F730" s="2" t="e">
        <f t="shared" si="33"/>
        <v>#N/A</v>
      </c>
      <c r="G730" s="2" t="e">
        <f t="shared" si="34"/>
        <v>#N/A</v>
      </c>
      <c r="H730" s="2" t="e">
        <f t="shared" si="35"/>
        <v>#N/A</v>
      </c>
    </row>
    <row r="731" spans="6:8" x14ac:dyDescent="0.25">
      <c r="F731" s="2" t="e">
        <f t="shared" si="33"/>
        <v>#N/A</v>
      </c>
      <c r="G731" s="2" t="e">
        <f t="shared" si="34"/>
        <v>#N/A</v>
      </c>
      <c r="H731" s="2" t="e">
        <f t="shared" si="35"/>
        <v>#N/A</v>
      </c>
    </row>
    <row r="732" spans="6:8" x14ac:dyDescent="0.25">
      <c r="F732" s="2" t="e">
        <f t="shared" si="33"/>
        <v>#N/A</v>
      </c>
      <c r="G732" s="2" t="e">
        <f t="shared" si="34"/>
        <v>#N/A</v>
      </c>
      <c r="H732" s="2" t="e">
        <f t="shared" si="35"/>
        <v>#N/A</v>
      </c>
    </row>
    <row r="733" spans="6:8" x14ac:dyDescent="0.25">
      <c r="F733" s="2" t="e">
        <f t="shared" si="33"/>
        <v>#N/A</v>
      </c>
      <c r="G733" s="2" t="e">
        <f t="shared" si="34"/>
        <v>#N/A</v>
      </c>
      <c r="H733" s="2" t="e">
        <f t="shared" si="35"/>
        <v>#N/A</v>
      </c>
    </row>
    <row r="734" spans="6:8" x14ac:dyDescent="0.25">
      <c r="F734" s="2" t="e">
        <f t="shared" si="33"/>
        <v>#N/A</v>
      </c>
      <c r="G734" s="2" t="e">
        <f t="shared" si="34"/>
        <v>#N/A</v>
      </c>
      <c r="H734" s="2" t="e">
        <f t="shared" si="35"/>
        <v>#N/A</v>
      </c>
    </row>
    <row r="735" spans="6:8" x14ac:dyDescent="0.25">
      <c r="F735" s="2" t="e">
        <f t="shared" si="33"/>
        <v>#N/A</v>
      </c>
      <c r="G735" s="2" t="e">
        <f t="shared" si="34"/>
        <v>#N/A</v>
      </c>
      <c r="H735" s="2" t="e">
        <f t="shared" si="35"/>
        <v>#N/A</v>
      </c>
    </row>
    <row r="736" spans="6:8" x14ac:dyDescent="0.25">
      <c r="F736" s="2" t="e">
        <f t="shared" si="33"/>
        <v>#N/A</v>
      </c>
      <c r="G736" s="2" t="e">
        <f t="shared" si="34"/>
        <v>#N/A</v>
      </c>
      <c r="H736" s="2" t="e">
        <f t="shared" si="35"/>
        <v>#N/A</v>
      </c>
    </row>
    <row r="737" spans="6:8" x14ac:dyDescent="0.25">
      <c r="F737" s="2" t="e">
        <f t="shared" si="33"/>
        <v>#N/A</v>
      </c>
      <c r="G737" s="2" t="e">
        <f t="shared" si="34"/>
        <v>#N/A</v>
      </c>
      <c r="H737" s="2" t="e">
        <f t="shared" si="35"/>
        <v>#N/A</v>
      </c>
    </row>
    <row r="738" spans="6:8" x14ac:dyDescent="0.25">
      <c r="F738" s="2" t="e">
        <f t="shared" si="33"/>
        <v>#N/A</v>
      </c>
      <c r="G738" s="2" t="e">
        <f t="shared" si="34"/>
        <v>#N/A</v>
      </c>
      <c r="H738" s="2" t="e">
        <f t="shared" si="35"/>
        <v>#N/A</v>
      </c>
    </row>
    <row r="739" spans="6:8" x14ac:dyDescent="0.25">
      <c r="F739" s="2" t="e">
        <f t="shared" si="33"/>
        <v>#N/A</v>
      </c>
      <c r="G739" s="2" t="e">
        <f t="shared" si="34"/>
        <v>#N/A</v>
      </c>
      <c r="H739" s="2" t="e">
        <f t="shared" si="35"/>
        <v>#N/A</v>
      </c>
    </row>
    <row r="740" spans="6:8" x14ac:dyDescent="0.25">
      <c r="F740" s="2" t="e">
        <f t="shared" si="33"/>
        <v>#N/A</v>
      </c>
      <c r="G740" s="2" t="e">
        <f t="shared" si="34"/>
        <v>#N/A</v>
      </c>
      <c r="H740" s="2" t="e">
        <f t="shared" si="35"/>
        <v>#N/A</v>
      </c>
    </row>
    <row r="741" spans="6:8" x14ac:dyDescent="0.25">
      <c r="F741" s="2" t="e">
        <f t="shared" si="33"/>
        <v>#N/A</v>
      </c>
      <c r="G741" s="2" t="e">
        <f t="shared" si="34"/>
        <v>#N/A</v>
      </c>
      <c r="H741" s="2" t="e">
        <f t="shared" si="35"/>
        <v>#N/A</v>
      </c>
    </row>
    <row r="742" spans="6:8" x14ac:dyDescent="0.25">
      <c r="F742" s="2" t="e">
        <f t="shared" si="33"/>
        <v>#N/A</v>
      </c>
      <c r="G742" s="2" t="e">
        <f t="shared" si="34"/>
        <v>#N/A</v>
      </c>
      <c r="H742" s="2" t="e">
        <f t="shared" si="35"/>
        <v>#N/A</v>
      </c>
    </row>
    <row r="743" spans="6:8" x14ac:dyDescent="0.25">
      <c r="F743" s="2" t="e">
        <f t="shared" si="33"/>
        <v>#N/A</v>
      </c>
      <c r="G743" s="2" t="e">
        <f t="shared" si="34"/>
        <v>#N/A</v>
      </c>
      <c r="H743" s="2" t="e">
        <f t="shared" si="35"/>
        <v>#N/A</v>
      </c>
    </row>
    <row r="744" spans="6:8" x14ac:dyDescent="0.25">
      <c r="F744" s="2" t="e">
        <f t="shared" si="33"/>
        <v>#N/A</v>
      </c>
      <c r="G744" s="2" t="e">
        <f t="shared" si="34"/>
        <v>#N/A</v>
      </c>
      <c r="H744" s="2" t="e">
        <f t="shared" si="35"/>
        <v>#N/A</v>
      </c>
    </row>
    <row r="745" spans="6:8" x14ac:dyDescent="0.25">
      <c r="F745" s="2" t="e">
        <f t="shared" si="33"/>
        <v>#N/A</v>
      </c>
      <c r="G745" s="2" t="e">
        <f t="shared" si="34"/>
        <v>#N/A</v>
      </c>
      <c r="H745" s="2" t="e">
        <f t="shared" si="35"/>
        <v>#N/A</v>
      </c>
    </row>
    <row r="746" spans="6:8" x14ac:dyDescent="0.25">
      <c r="F746" s="2" t="e">
        <f t="shared" si="33"/>
        <v>#N/A</v>
      </c>
      <c r="G746" s="2" t="e">
        <f t="shared" si="34"/>
        <v>#N/A</v>
      </c>
      <c r="H746" s="2" t="e">
        <f t="shared" si="35"/>
        <v>#N/A</v>
      </c>
    </row>
    <row r="747" spans="6:8" x14ac:dyDescent="0.25">
      <c r="F747" s="2" t="e">
        <f t="shared" si="33"/>
        <v>#N/A</v>
      </c>
      <c r="G747" s="2" t="e">
        <f t="shared" si="34"/>
        <v>#N/A</v>
      </c>
      <c r="H747" s="2" t="e">
        <f t="shared" si="35"/>
        <v>#N/A</v>
      </c>
    </row>
    <row r="748" spans="6:8" x14ac:dyDescent="0.25">
      <c r="F748" s="2" t="e">
        <f t="shared" si="33"/>
        <v>#N/A</v>
      </c>
      <c r="G748" s="2" t="e">
        <f t="shared" si="34"/>
        <v>#N/A</v>
      </c>
      <c r="H748" s="2" t="e">
        <f t="shared" si="35"/>
        <v>#N/A</v>
      </c>
    </row>
    <row r="749" spans="6:8" x14ac:dyDescent="0.25">
      <c r="F749" s="2" t="e">
        <f t="shared" si="33"/>
        <v>#N/A</v>
      </c>
      <c r="G749" s="2" t="e">
        <f t="shared" si="34"/>
        <v>#N/A</v>
      </c>
      <c r="H749" s="2" t="e">
        <f t="shared" si="35"/>
        <v>#N/A</v>
      </c>
    </row>
    <row r="750" spans="6:8" x14ac:dyDescent="0.25">
      <c r="F750" s="2" t="e">
        <f t="shared" si="33"/>
        <v>#N/A</v>
      </c>
      <c r="G750" s="2" t="e">
        <f t="shared" si="34"/>
        <v>#N/A</v>
      </c>
      <c r="H750" s="2" t="e">
        <f t="shared" si="35"/>
        <v>#N/A</v>
      </c>
    </row>
    <row r="751" spans="6:8" x14ac:dyDescent="0.25">
      <c r="F751" s="2" t="e">
        <f t="shared" si="33"/>
        <v>#N/A</v>
      </c>
      <c r="G751" s="2" t="e">
        <f t="shared" si="34"/>
        <v>#N/A</v>
      </c>
      <c r="H751" s="2" t="e">
        <f t="shared" si="35"/>
        <v>#N/A</v>
      </c>
    </row>
    <row r="752" spans="6:8" x14ac:dyDescent="0.25">
      <c r="F752" s="2" t="e">
        <f t="shared" si="33"/>
        <v>#N/A</v>
      </c>
      <c r="G752" s="2" t="e">
        <f t="shared" si="34"/>
        <v>#N/A</v>
      </c>
      <c r="H752" s="2" t="e">
        <f t="shared" si="35"/>
        <v>#N/A</v>
      </c>
    </row>
    <row r="753" spans="6:8" x14ac:dyDescent="0.25">
      <c r="F753" s="2" t="e">
        <f t="shared" si="33"/>
        <v>#N/A</v>
      </c>
      <c r="G753" s="2" t="e">
        <f t="shared" si="34"/>
        <v>#N/A</v>
      </c>
      <c r="H753" s="2" t="e">
        <f t="shared" si="35"/>
        <v>#N/A</v>
      </c>
    </row>
    <row r="754" spans="6:8" x14ac:dyDescent="0.25">
      <c r="F754" s="2" t="e">
        <f t="shared" si="33"/>
        <v>#N/A</v>
      </c>
      <c r="G754" s="2" t="e">
        <f t="shared" si="34"/>
        <v>#N/A</v>
      </c>
      <c r="H754" s="2" t="e">
        <f t="shared" si="35"/>
        <v>#N/A</v>
      </c>
    </row>
    <row r="755" spans="6:8" x14ac:dyDescent="0.25">
      <c r="F755" s="2" t="e">
        <f t="shared" si="33"/>
        <v>#N/A</v>
      </c>
      <c r="G755" s="2" t="e">
        <f t="shared" si="34"/>
        <v>#N/A</v>
      </c>
      <c r="H755" s="2" t="e">
        <f t="shared" si="35"/>
        <v>#N/A</v>
      </c>
    </row>
    <row r="756" spans="6:8" x14ac:dyDescent="0.25">
      <c r="F756" s="2" t="e">
        <f t="shared" si="33"/>
        <v>#N/A</v>
      </c>
      <c r="G756" s="2" t="e">
        <f t="shared" si="34"/>
        <v>#N/A</v>
      </c>
      <c r="H756" s="2" t="e">
        <f t="shared" si="35"/>
        <v>#N/A</v>
      </c>
    </row>
    <row r="757" spans="6:8" x14ac:dyDescent="0.25">
      <c r="F757" s="2" t="e">
        <f t="shared" si="33"/>
        <v>#N/A</v>
      </c>
      <c r="G757" s="2" t="e">
        <f t="shared" si="34"/>
        <v>#N/A</v>
      </c>
      <c r="H757" s="2" t="e">
        <f t="shared" si="35"/>
        <v>#N/A</v>
      </c>
    </row>
    <row r="758" spans="6:8" x14ac:dyDescent="0.25">
      <c r="F758" s="2" t="e">
        <f t="shared" si="33"/>
        <v>#N/A</v>
      </c>
      <c r="G758" s="2" t="e">
        <f t="shared" si="34"/>
        <v>#N/A</v>
      </c>
      <c r="H758" s="2" t="e">
        <f t="shared" si="35"/>
        <v>#N/A</v>
      </c>
    </row>
    <row r="759" spans="6:8" x14ac:dyDescent="0.25">
      <c r="F759" s="2" t="e">
        <f t="shared" si="33"/>
        <v>#N/A</v>
      </c>
      <c r="G759" s="2" t="e">
        <f t="shared" si="34"/>
        <v>#N/A</v>
      </c>
      <c r="H759" s="2" t="e">
        <f t="shared" si="35"/>
        <v>#N/A</v>
      </c>
    </row>
    <row r="760" spans="6:8" x14ac:dyDescent="0.25">
      <c r="F760" s="2" t="e">
        <f t="shared" si="33"/>
        <v>#N/A</v>
      </c>
      <c r="G760" s="2" t="e">
        <f t="shared" si="34"/>
        <v>#N/A</v>
      </c>
      <c r="H760" s="2" t="e">
        <f t="shared" si="35"/>
        <v>#N/A</v>
      </c>
    </row>
    <row r="761" spans="6:8" x14ac:dyDescent="0.25">
      <c r="F761" s="2" t="e">
        <f t="shared" si="33"/>
        <v>#N/A</v>
      </c>
      <c r="G761" s="2" t="e">
        <f t="shared" si="34"/>
        <v>#N/A</v>
      </c>
      <c r="H761" s="2" t="e">
        <f t="shared" si="35"/>
        <v>#N/A</v>
      </c>
    </row>
    <row r="762" spans="6:8" x14ac:dyDescent="0.25">
      <c r="F762" s="2" t="e">
        <f t="shared" si="33"/>
        <v>#N/A</v>
      </c>
      <c r="G762" s="2" t="e">
        <f t="shared" si="34"/>
        <v>#N/A</v>
      </c>
      <c r="H762" s="2" t="e">
        <f t="shared" si="35"/>
        <v>#N/A</v>
      </c>
    </row>
    <row r="763" spans="6:8" x14ac:dyDescent="0.25">
      <c r="F763" s="2" t="e">
        <f t="shared" si="33"/>
        <v>#N/A</v>
      </c>
      <c r="G763" s="2" t="e">
        <f t="shared" si="34"/>
        <v>#N/A</v>
      </c>
      <c r="H763" s="2" t="e">
        <f t="shared" si="35"/>
        <v>#N/A</v>
      </c>
    </row>
    <row r="764" spans="6:8" x14ac:dyDescent="0.25">
      <c r="F764" s="2" t="e">
        <f t="shared" si="33"/>
        <v>#N/A</v>
      </c>
      <c r="G764" s="2" t="e">
        <f t="shared" si="34"/>
        <v>#N/A</v>
      </c>
      <c r="H764" s="2" t="e">
        <f t="shared" si="35"/>
        <v>#N/A</v>
      </c>
    </row>
    <row r="765" spans="6:8" x14ac:dyDescent="0.25">
      <c r="F765" s="2" t="e">
        <f t="shared" si="33"/>
        <v>#N/A</v>
      </c>
      <c r="G765" s="2" t="e">
        <f t="shared" si="34"/>
        <v>#N/A</v>
      </c>
      <c r="H765" s="2" t="e">
        <f t="shared" si="35"/>
        <v>#N/A</v>
      </c>
    </row>
    <row r="766" spans="6:8" x14ac:dyDescent="0.25">
      <c r="F766" s="2" t="e">
        <f t="shared" si="33"/>
        <v>#N/A</v>
      </c>
      <c r="G766" s="2" t="e">
        <f t="shared" si="34"/>
        <v>#N/A</v>
      </c>
      <c r="H766" s="2" t="e">
        <f t="shared" si="35"/>
        <v>#N/A</v>
      </c>
    </row>
    <row r="767" spans="6:8" x14ac:dyDescent="0.25">
      <c r="F767" s="2" t="e">
        <f t="shared" si="33"/>
        <v>#N/A</v>
      </c>
      <c r="G767" s="2" t="e">
        <f t="shared" si="34"/>
        <v>#N/A</v>
      </c>
      <c r="H767" s="2" t="e">
        <f t="shared" si="35"/>
        <v>#N/A</v>
      </c>
    </row>
    <row r="768" spans="6:8" x14ac:dyDescent="0.25">
      <c r="F768" s="2" t="e">
        <f t="shared" si="33"/>
        <v>#N/A</v>
      </c>
      <c r="G768" s="2" t="e">
        <f t="shared" si="34"/>
        <v>#N/A</v>
      </c>
      <c r="H768" s="2" t="e">
        <f t="shared" si="35"/>
        <v>#N/A</v>
      </c>
    </row>
    <row r="769" spans="6:8" x14ac:dyDescent="0.25">
      <c r="F769" s="2" t="e">
        <f t="shared" si="33"/>
        <v>#N/A</v>
      </c>
      <c r="G769" s="2" t="e">
        <f t="shared" si="34"/>
        <v>#N/A</v>
      </c>
      <c r="H769" s="2" t="e">
        <f t="shared" si="35"/>
        <v>#N/A</v>
      </c>
    </row>
    <row r="770" spans="6:8" x14ac:dyDescent="0.25">
      <c r="F770" s="2" t="e">
        <f t="shared" si="33"/>
        <v>#N/A</v>
      </c>
      <c r="G770" s="2" t="e">
        <f t="shared" si="34"/>
        <v>#N/A</v>
      </c>
      <c r="H770" s="2" t="e">
        <f t="shared" si="35"/>
        <v>#N/A</v>
      </c>
    </row>
    <row r="771" spans="6:8" x14ac:dyDescent="0.25">
      <c r="F771" s="2" t="e">
        <f t="shared" si="33"/>
        <v>#N/A</v>
      </c>
      <c r="G771" s="2" t="e">
        <f t="shared" si="34"/>
        <v>#N/A</v>
      </c>
      <c r="H771" s="2" t="e">
        <f t="shared" si="35"/>
        <v>#N/A</v>
      </c>
    </row>
    <row r="772" spans="6:8" x14ac:dyDescent="0.25">
      <c r="F772" s="2" t="e">
        <f t="shared" si="33"/>
        <v>#N/A</v>
      </c>
      <c r="G772" s="2" t="e">
        <f t="shared" si="34"/>
        <v>#N/A</v>
      </c>
      <c r="H772" s="2" t="e">
        <f t="shared" si="35"/>
        <v>#N/A</v>
      </c>
    </row>
    <row r="773" spans="6:8" x14ac:dyDescent="0.25">
      <c r="F773" s="2" t="e">
        <f t="shared" si="33"/>
        <v>#N/A</v>
      </c>
      <c r="G773" s="2" t="e">
        <f t="shared" si="34"/>
        <v>#N/A</v>
      </c>
      <c r="H773" s="2" t="e">
        <f t="shared" si="35"/>
        <v>#N/A</v>
      </c>
    </row>
    <row r="774" spans="6:8" x14ac:dyDescent="0.25">
      <c r="F774" s="2" t="e">
        <f t="shared" ref="F774:F837" si="36">IF(F773&lt;2,F773+$D$6,NA())</f>
        <v>#N/A</v>
      </c>
      <c r="G774" s="2" t="e">
        <f t="shared" ref="G774:G837" si="37">IF(ISNA(F774), NA(),(1+$D$3*$D$6)*G773+$D$6*$D$4)</f>
        <v>#N/A</v>
      </c>
      <c r="H774" s="2" t="e">
        <f t="shared" ref="H774:H837" si="38">IF(ISNA(G774),NA(),$D$7*EXP($D$3*F774)-($D$4/$D$3))</f>
        <v>#N/A</v>
      </c>
    </row>
    <row r="775" spans="6:8" x14ac:dyDescent="0.25">
      <c r="F775" s="2" t="e">
        <f t="shared" si="36"/>
        <v>#N/A</v>
      </c>
      <c r="G775" s="2" t="e">
        <f t="shared" si="37"/>
        <v>#N/A</v>
      </c>
      <c r="H775" s="2" t="e">
        <f t="shared" si="38"/>
        <v>#N/A</v>
      </c>
    </row>
    <row r="776" spans="6:8" x14ac:dyDescent="0.25">
      <c r="F776" s="2" t="e">
        <f t="shared" si="36"/>
        <v>#N/A</v>
      </c>
      <c r="G776" s="2" t="e">
        <f t="shared" si="37"/>
        <v>#N/A</v>
      </c>
      <c r="H776" s="2" t="e">
        <f t="shared" si="38"/>
        <v>#N/A</v>
      </c>
    </row>
    <row r="777" spans="6:8" x14ac:dyDescent="0.25">
      <c r="F777" s="2" t="e">
        <f t="shared" si="36"/>
        <v>#N/A</v>
      </c>
      <c r="G777" s="2" t="e">
        <f t="shared" si="37"/>
        <v>#N/A</v>
      </c>
      <c r="H777" s="2" t="e">
        <f t="shared" si="38"/>
        <v>#N/A</v>
      </c>
    </row>
    <row r="778" spans="6:8" x14ac:dyDescent="0.25">
      <c r="F778" s="2" t="e">
        <f t="shared" si="36"/>
        <v>#N/A</v>
      </c>
      <c r="G778" s="2" t="e">
        <f t="shared" si="37"/>
        <v>#N/A</v>
      </c>
      <c r="H778" s="2" t="e">
        <f t="shared" si="38"/>
        <v>#N/A</v>
      </c>
    </row>
    <row r="779" spans="6:8" x14ac:dyDescent="0.25">
      <c r="F779" s="2" t="e">
        <f t="shared" si="36"/>
        <v>#N/A</v>
      </c>
      <c r="G779" s="2" t="e">
        <f t="shared" si="37"/>
        <v>#N/A</v>
      </c>
      <c r="H779" s="2" t="e">
        <f t="shared" si="38"/>
        <v>#N/A</v>
      </c>
    </row>
    <row r="780" spans="6:8" x14ac:dyDescent="0.25">
      <c r="F780" s="2" t="e">
        <f t="shared" si="36"/>
        <v>#N/A</v>
      </c>
      <c r="G780" s="2" t="e">
        <f t="shared" si="37"/>
        <v>#N/A</v>
      </c>
      <c r="H780" s="2" t="e">
        <f t="shared" si="38"/>
        <v>#N/A</v>
      </c>
    </row>
    <row r="781" spans="6:8" x14ac:dyDescent="0.25">
      <c r="F781" s="2" t="e">
        <f t="shared" si="36"/>
        <v>#N/A</v>
      </c>
      <c r="G781" s="2" t="e">
        <f t="shared" si="37"/>
        <v>#N/A</v>
      </c>
      <c r="H781" s="2" t="e">
        <f t="shared" si="38"/>
        <v>#N/A</v>
      </c>
    </row>
    <row r="782" spans="6:8" x14ac:dyDescent="0.25">
      <c r="F782" s="2" t="e">
        <f t="shared" si="36"/>
        <v>#N/A</v>
      </c>
      <c r="G782" s="2" t="e">
        <f t="shared" si="37"/>
        <v>#N/A</v>
      </c>
      <c r="H782" s="2" t="e">
        <f t="shared" si="38"/>
        <v>#N/A</v>
      </c>
    </row>
    <row r="783" spans="6:8" x14ac:dyDescent="0.25">
      <c r="F783" s="2" t="e">
        <f t="shared" si="36"/>
        <v>#N/A</v>
      </c>
      <c r="G783" s="2" t="e">
        <f t="shared" si="37"/>
        <v>#N/A</v>
      </c>
      <c r="H783" s="2" t="e">
        <f t="shared" si="38"/>
        <v>#N/A</v>
      </c>
    </row>
    <row r="784" spans="6:8" x14ac:dyDescent="0.25">
      <c r="F784" s="2" t="e">
        <f t="shared" si="36"/>
        <v>#N/A</v>
      </c>
      <c r="G784" s="2" t="e">
        <f t="shared" si="37"/>
        <v>#N/A</v>
      </c>
      <c r="H784" s="2" t="e">
        <f t="shared" si="38"/>
        <v>#N/A</v>
      </c>
    </row>
    <row r="785" spans="6:8" x14ac:dyDescent="0.25">
      <c r="F785" s="2" t="e">
        <f t="shared" si="36"/>
        <v>#N/A</v>
      </c>
      <c r="G785" s="2" t="e">
        <f t="shared" si="37"/>
        <v>#N/A</v>
      </c>
      <c r="H785" s="2" t="e">
        <f t="shared" si="38"/>
        <v>#N/A</v>
      </c>
    </row>
    <row r="786" spans="6:8" x14ac:dyDescent="0.25">
      <c r="F786" s="2" t="e">
        <f t="shared" si="36"/>
        <v>#N/A</v>
      </c>
      <c r="G786" s="2" t="e">
        <f t="shared" si="37"/>
        <v>#N/A</v>
      </c>
      <c r="H786" s="2" t="e">
        <f t="shared" si="38"/>
        <v>#N/A</v>
      </c>
    </row>
    <row r="787" spans="6:8" x14ac:dyDescent="0.25">
      <c r="F787" s="2" t="e">
        <f t="shared" si="36"/>
        <v>#N/A</v>
      </c>
      <c r="G787" s="2" t="e">
        <f t="shared" si="37"/>
        <v>#N/A</v>
      </c>
      <c r="H787" s="2" t="e">
        <f t="shared" si="38"/>
        <v>#N/A</v>
      </c>
    </row>
    <row r="788" spans="6:8" x14ac:dyDescent="0.25">
      <c r="F788" s="2" t="e">
        <f t="shared" si="36"/>
        <v>#N/A</v>
      </c>
      <c r="G788" s="2" t="e">
        <f t="shared" si="37"/>
        <v>#N/A</v>
      </c>
      <c r="H788" s="2" t="e">
        <f t="shared" si="38"/>
        <v>#N/A</v>
      </c>
    </row>
    <row r="789" spans="6:8" x14ac:dyDescent="0.25">
      <c r="F789" s="2" t="e">
        <f t="shared" si="36"/>
        <v>#N/A</v>
      </c>
      <c r="G789" s="2" t="e">
        <f t="shared" si="37"/>
        <v>#N/A</v>
      </c>
      <c r="H789" s="2" t="e">
        <f t="shared" si="38"/>
        <v>#N/A</v>
      </c>
    </row>
    <row r="790" spans="6:8" x14ac:dyDescent="0.25">
      <c r="F790" s="2" t="e">
        <f t="shared" si="36"/>
        <v>#N/A</v>
      </c>
      <c r="G790" s="2" t="e">
        <f t="shared" si="37"/>
        <v>#N/A</v>
      </c>
      <c r="H790" s="2" t="e">
        <f t="shared" si="38"/>
        <v>#N/A</v>
      </c>
    </row>
    <row r="791" spans="6:8" x14ac:dyDescent="0.25">
      <c r="F791" s="2" t="e">
        <f t="shared" si="36"/>
        <v>#N/A</v>
      </c>
      <c r="G791" s="2" t="e">
        <f t="shared" si="37"/>
        <v>#N/A</v>
      </c>
      <c r="H791" s="2" t="e">
        <f t="shared" si="38"/>
        <v>#N/A</v>
      </c>
    </row>
    <row r="792" spans="6:8" x14ac:dyDescent="0.25">
      <c r="F792" s="2" t="e">
        <f t="shared" si="36"/>
        <v>#N/A</v>
      </c>
      <c r="G792" s="2" t="e">
        <f t="shared" si="37"/>
        <v>#N/A</v>
      </c>
      <c r="H792" s="2" t="e">
        <f t="shared" si="38"/>
        <v>#N/A</v>
      </c>
    </row>
    <row r="793" spans="6:8" x14ac:dyDescent="0.25">
      <c r="F793" s="2" t="e">
        <f t="shared" si="36"/>
        <v>#N/A</v>
      </c>
      <c r="G793" s="2" t="e">
        <f t="shared" si="37"/>
        <v>#N/A</v>
      </c>
      <c r="H793" s="2" t="e">
        <f t="shared" si="38"/>
        <v>#N/A</v>
      </c>
    </row>
    <row r="794" spans="6:8" x14ac:dyDescent="0.25">
      <c r="F794" s="2" t="e">
        <f t="shared" si="36"/>
        <v>#N/A</v>
      </c>
      <c r="G794" s="2" t="e">
        <f t="shared" si="37"/>
        <v>#N/A</v>
      </c>
      <c r="H794" s="2" t="e">
        <f t="shared" si="38"/>
        <v>#N/A</v>
      </c>
    </row>
    <row r="795" spans="6:8" x14ac:dyDescent="0.25">
      <c r="F795" s="2" t="e">
        <f t="shared" si="36"/>
        <v>#N/A</v>
      </c>
      <c r="G795" s="2" t="e">
        <f t="shared" si="37"/>
        <v>#N/A</v>
      </c>
      <c r="H795" s="2" t="e">
        <f t="shared" si="38"/>
        <v>#N/A</v>
      </c>
    </row>
    <row r="796" spans="6:8" x14ac:dyDescent="0.25">
      <c r="F796" s="2" t="e">
        <f t="shared" si="36"/>
        <v>#N/A</v>
      </c>
      <c r="G796" s="2" t="e">
        <f t="shared" si="37"/>
        <v>#N/A</v>
      </c>
      <c r="H796" s="2" t="e">
        <f t="shared" si="38"/>
        <v>#N/A</v>
      </c>
    </row>
    <row r="797" spans="6:8" x14ac:dyDescent="0.25">
      <c r="F797" s="2" t="e">
        <f t="shared" si="36"/>
        <v>#N/A</v>
      </c>
      <c r="G797" s="2" t="e">
        <f t="shared" si="37"/>
        <v>#N/A</v>
      </c>
      <c r="H797" s="2" t="e">
        <f t="shared" si="38"/>
        <v>#N/A</v>
      </c>
    </row>
    <row r="798" spans="6:8" x14ac:dyDescent="0.25">
      <c r="F798" s="2" t="e">
        <f t="shared" si="36"/>
        <v>#N/A</v>
      </c>
      <c r="G798" s="2" t="e">
        <f t="shared" si="37"/>
        <v>#N/A</v>
      </c>
      <c r="H798" s="2" t="e">
        <f t="shared" si="38"/>
        <v>#N/A</v>
      </c>
    </row>
    <row r="799" spans="6:8" x14ac:dyDescent="0.25">
      <c r="F799" s="2" t="e">
        <f t="shared" si="36"/>
        <v>#N/A</v>
      </c>
      <c r="G799" s="2" t="e">
        <f t="shared" si="37"/>
        <v>#N/A</v>
      </c>
      <c r="H799" s="2" t="e">
        <f t="shared" si="38"/>
        <v>#N/A</v>
      </c>
    </row>
    <row r="800" spans="6:8" x14ac:dyDescent="0.25">
      <c r="F800" s="2" t="e">
        <f t="shared" si="36"/>
        <v>#N/A</v>
      </c>
      <c r="G800" s="2" t="e">
        <f t="shared" si="37"/>
        <v>#N/A</v>
      </c>
      <c r="H800" s="2" t="e">
        <f t="shared" si="38"/>
        <v>#N/A</v>
      </c>
    </row>
    <row r="801" spans="6:8" x14ac:dyDescent="0.25">
      <c r="F801" s="2" t="e">
        <f t="shared" si="36"/>
        <v>#N/A</v>
      </c>
      <c r="G801" s="2" t="e">
        <f t="shared" si="37"/>
        <v>#N/A</v>
      </c>
      <c r="H801" s="2" t="e">
        <f t="shared" si="38"/>
        <v>#N/A</v>
      </c>
    </row>
    <row r="802" spans="6:8" x14ac:dyDescent="0.25">
      <c r="F802" s="2" t="e">
        <f t="shared" si="36"/>
        <v>#N/A</v>
      </c>
      <c r="G802" s="2" t="e">
        <f t="shared" si="37"/>
        <v>#N/A</v>
      </c>
      <c r="H802" s="2" t="e">
        <f t="shared" si="38"/>
        <v>#N/A</v>
      </c>
    </row>
    <row r="803" spans="6:8" x14ac:dyDescent="0.25">
      <c r="F803" s="2" t="e">
        <f t="shared" si="36"/>
        <v>#N/A</v>
      </c>
      <c r="G803" s="2" t="e">
        <f t="shared" si="37"/>
        <v>#N/A</v>
      </c>
      <c r="H803" s="2" t="e">
        <f t="shared" si="38"/>
        <v>#N/A</v>
      </c>
    </row>
    <row r="804" spans="6:8" x14ac:dyDescent="0.25">
      <c r="F804" s="2" t="e">
        <f t="shared" si="36"/>
        <v>#N/A</v>
      </c>
      <c r="G804" s="2" t="e">
        <f t="shared" si="37"/>
        <v>#N/A</v>
      </c>
      <c r="H804" s="2" t="e">
        <f t="shared" si="38"/>
        <v>#N/A</v>
      </c>
    </row>
    <row r="805" spans="6:8" x14ac:dyDescent="0.25">
      <c r="F805" s="2" t="e">
        <f t="shared" si="36"/>
        <v>#N/A</v>
      </c>
      <c r="G805" s="2" t="e">
        <f t="shared" si="37"/>
        <v>#N/A</v>
      </c>
      <c r="H805" s="2" t="e">
        <f t="shared" si="38"/>
        <v>#N/A</v>
      </c>
    </row>
    <row r="806" spans="6:8" x14ac:dyDescent="0.25">
      <c r="F806" s="2" t="e">
        <f t="shared" si="36"/>
        <v>#N/A</v>
      </c>
      <c r="G806" s="2" t="e">
        <f t="shared" si="37"/>
        <v>#N/A</v>
      </c>
      <c r="H806" s="2" t="e">
        <f t="shared" si="38"/>
        <v>#N/A</v>
      </c>
    </row>
    <row r="807" spans="6:8" x14ac:dyDescent="0.25">
      <c r="F807" s="2" t="e">
        <f t="shared" si="36"/>
        <v>#N/A</v>
      </c>
      <c r="G807" s="2" t="e">
        <f t="shared" si="37"/>
        <v>#N/A</v>
      </c>
      <c r="H807" s="2" t="e">
        <f t="shared" si="38"/>
        <v>#N/A</v>
      </c>
    </row>
    <row r="808" spans="6:8" x14ac:dyDescent="0.25">
      <c r="F808" s="2" t="e">
        <f t="shared" si="36"/>
        <v>#N/A</v>
      </c>
      <c r="G808" s="2" t="e">
        <f t="shared" si="37"/>
        <v>#N/A</v>
      </c>
      <c r="H808" s="2" t="e">
        <f t="shared" si="38"/>
        <v>#N/A</v>
      </c>
    </row>
    <row r="809" spans="6:8" x14ac:dyDescent="0.25">
      <c r="F809" s="2" t="e">
        <f t="shared" si="36"/>
        <v>#N/A</v>
      </c>
      <c r="G809" s="2" t="e">
        <f t="shared" si="37"/>
        <v>#N/A</v>
      </c>
      <c r="H809" s="2" t="e">
        <f t="shared" si="38"/>
        <v>#N/A</v>
      </c>
    </row>
    <row r="810" spans="6:8" x14ac:dyDescent="0.25">
      <c r="F810" s="2" t="e">
        <f t="shared" si="36"/>
        <v>#N/A</v>
      </c>
      <c r="G810" s="2" t="e">
        <f t="shared" si="37"/>
        <v>#N/A</v>
      </c>
      <c r="H810" s="2" t="e">
        <f t="shared" si="38"/>
        <v>#N/A</v>
      </c>
    </row>
    <row r="811" spans="6:8" x14ac:dyDescent="0.25">
      <c r="F811" s="2" t="e">
        <f t="shared" si="36"/>
        <v>#N/A</v>
      </c>
      <c r="G811" s="2" t="e">
        <f t="shared" si="37"/>
        <v>#N/A</v>
      </c>
      <c r="H811" s="2" t="e">
        <f t="shared" si="38"/>
        <v>#N/A</v>
      </c>
    </row>
    <row r="812" spans="6:8" x14ac:dyDescent="0.25">
      <c r="F812" s="2" t="e">
        <f t="shared" si="36"/>
        <v>#N/A</v>
      </c>
      <c r="G812" s="2" t="e">
        <f t="shared" si="37"/>
        <v>#N/A</v>
      </c>
      <c r="H812" s="2" t="e">
        <f t="shared" si="38"/>
        <v>#N/A</v>
      </c>
    </row>
    <row r="813" spans="6:8" x14ac:dyDescent="0.25">
      <c r="F813" s="2" t="e">
        <f t="shared" si="36"/>
        <v>#N/A</v>
      </c>
      <c r="G813" s="2" t="e">
        <f t="shared" si="37"/>
        <v>#N/A</v>
      </c>
      <c r="H813" s="2" t="e">
        <f t="shared" si="38"/>
        <v>#N/A</v>
      </c>
    </row>
    <row r="814" spans="6:8" x14ac:dyDescent="0.25">
      <c r="F814" s="2" t="e">
        <f t="shared" si="36"/>
        <v>#N/A</v>
      </c>
      <c r="G814" s="2" t="e">
        <f t="shared" si="37"/>
        <v>#N/A</v>
      </c>
      <c r="H814" s="2" t="e">
        <f t="shared" si="38"/>
        <v>#N/A</v>
      </c>
    </row>
    <row r="815" spans="6:8" x14ac:dyDescent="0.25">
      <c r="F815" s="2" t="e">
        <f t="shared" si="36"/>
        <v>#N/A</v>
      </c>
      <c r="G815" s="2" t="e">
        <f t="shared" si="37"/>
        <v>#N/A</v>
      </c>
      <c r="H815" s="2" t="e">
        <f t="shared" si="38"/>
        <v>#N/A</v>
      </c>
    </row>
    <row r="816" spans="6:8" x14ac:dyDescent="0.25">
      <c r="F816" s="2" t="e">
        <f t="shared" si="36"/>
        <v>#N/A</v>
      </c>
      <c r="G816" s="2" t="e">
        <f t="shared" si="37"/>
        <v>#N/A</v>
      </c>
      <c r="H816" s="2" t="e">
        <f t="shared" si="38"/>
        <v>#N/A</v>
      </c>
    </row>
    <row r="817" spans="6:8" x14ac:dyDescent="0.25">
      <c r="F817" s="2" t="e">
        <f t="shared" si="36"/>
        <v>#N/A</v>
      </c>
      <c r="G817" s="2" t="e">
        <f t="shared" si="37"/>
        <v>#N/A</v>
      </c>
      <c r="H817" s="2" t="e">
        <f t="shared" si="38"/>
        <v>#N/A</v>
      </c>
    </row>
    <row r="818" spans="6:8" x14ac:dyDescent="0.25">
      <c r="F818" s="2" t="e">
        <f t="shared" si="36"/>
        <v>#N/A</v>
      </c>
      <c r="G818" s="2" t="e">
        <f t="shared" si="37"/>
        <v>#N/A</v>
      </c>
      <c r="H818" s="2" t="e">
        <f t="shared" si="38"/>
        <v>#N/A</v>
      </c>
    </row>
    <row r="819" spans="6:8" x14ac:dyDescent="0.25">
      <c r="F819" s="2" t="e">
        <f t="shared" si="36"/>
        <v>#N/A</v>
      </c>
      <c r="G819" s="2" t="e">
        <f t="shared" si="37"/>
        <v>#N/A</v>
      </c>
      <c r="H819" s="2" t="e">
        <f t="shared" si="38"/>
        <v>#N/A</v>
      </c>
    </row>
    <row r="820" spans="6:8" x14ac:dyDescent="0.25">
      <c r="F820" s="2" t="e">
        <f t="shared" si="36"/>
        <v>#N/A</v>
      </c>
      <c r="G820" s="2" t="e">
        <f t="shared" si="37"/>
        <v>#N/A</v>
      </c>
      <c r="H820" s="2" t="e">
        <f t="shared" si="38"/>
        <v>#N/A</v>
      </c>
    </row>
    <row r="821" spans="6:8" x14ac:dyDescent="0.25">
      <c r="F821" s="2" t="e">
        <f t="shared" si="36"/>
        <v>#N/A</v>
      </c>
      <c r="G821" s="2" t="e">
        <f t="shared" si="37"/>
        <v>#N/A</v>
      </c>
      <c r="H821" s="2" t="e">
        <f t="shared" si="38"/>
        <v>#N/A</v>
      </c>
    </row>
    <row r="822" spans="6:8" x14ac:dyDescent="0.25">
      <c r="F822" s="2" t="e">
        <f t="shared" si="36"/>
        <v>#N/A</v>
      </c>
      <c r="G822" s="2" t="e">
        <f t="shared" si="37"/>
        <v>#N/A</v>
      </c>
      <c r="H822" s="2" t="e">
        <f t="shared" si="38"/>
        <v>#N/A</v>
      </c>
    </row>
    <row r="823" spans="6:8" x14ac:dyDescent="0.25">
      <c r="F823" s="2" t="e">
        <f t="shared" si="36"/>
        <v>#N/A</v>
      </c>
      <c r="G823" s="2" t="e">
        <f t="shared" si="37"/>
        <v>#N/A</v>
      </c>
      <c r="H823" s="2" t="e">
        <f t="shared" si="38"/>
        <v>#N/A</v>
      </c>
    </row>
    <row r="824" spans="6:8" x14ac:dyDescent="0.25">
      <c r="F824" s="2" t="e">
        <f t="shared" si="36"/>
        <v>#N/A</v>
      </c>
      <c r="G824" s="2" t="e">
        <f t="shared" si="37"/>
        <v>#N/A</v>
      </c>
      <c r="H824" s="2" t="e">
        <f t="shared" si="38"/>
        <v>#N/A</v>
      </c>
    </row>
    <row r="825" spans="6:8" x14ac:dyDescent="0.25">
      <c r="F825" s="2" t="e">
        <f t="shared" si="36"/>
        <v>#N/A</v>
      </c>
      <c r="G825" s="2" t="e">
        <f t="shared" si="37"/>
        <v>#N/A</v>
      </c>
      <c r="H825" s="2" t="e">
        <f t="shared" si="38"/>
        <v>#N/A</v>
      </c>
    </row>
    <row r="826" spans="6:8" x14ac:dyDescent="0.25">
      <c r="F826" s="2" t="e">
        <f t="shared" si="36"/>
        <v>#N/A</v>
      </c>
      <c r="G826" s="2" t="e">
        <f t="shared" si="37"/>
        <v>#N/A</v>
      </c>
      <c r="H826" s="2" t="e">
        <f t="shared" si="38"/>
        <v>#N/A</v>
      </c>
    </row>
    <row r="827" spans="6:8" x14ac:dyDescent="0.25">
      <c r="F827" s="2" t="e">
        <f t="shared" si="36"/>
        <v>#N/A</v>
      </c>
      <c r="G827" s="2" t="e">
        <f t="shared" si="37"/>
        <v>#N/A</v>
      </c>
      <c r="H827" s="2" t="e">
        <f t="shared" si="38"/>
        <v>#N/A</v>
      </c>
    </row>
    <row r="828" spans="6:8" x14ac:dyDescent="0.25">
      <c r="F828" s="2" t="e">
        <f t="shared" si="36"/>
        <v>#N/A</v>
      </c>
      <c r="G828" s="2" t="e">
        <f t="shared" si="37"/>
        <v>#N/A</v>
      </c>
      <c r="H828" s="2" t="e">
        <f t="shared" si="38"/>
        <v>#N/A</v>
      </c>
    </row>
    <row r="829" spans="6:8" x14ac:dyDescent="0.25">
      <c r="F829" s="2" t="e">
        <f t="shared" si="36"/>
        <v>#N/A</v>
      </c>
      <c r="G829" s="2" t="e">
        <f t="shared" si="37"/>
        <v>#N/A</v>
      </c>
      <c r="H829" s="2" t="e">
        <f t="shared" si="38"/>
        <v>#N/A</v>
      </c>
    </row>
    <row r="830" spans="6:8" x14ac:dyDescent="0.25">
      <c r="F830" s="2" t="e">
        <f t="shared" si="36"/>
        <v>#N/A</v>
      </c>
      <c r="G830" s="2" t="e">
        <f t="shared" si="37"/>
        <v>#N/A</v>
      </c>
      <c r="H830" s="2" t="e">
        <f t="shared" si="38"/>
        <v>#N/A</v>
      </c>
    </row>
    <row r="831" spans="6:8" x14ac:dyDescent="0.25">
      <c r="F831" s="2" t="e">
        <f t="shared" si="36"/>
        <v>#N/A</v>
      </c>
      <c r="G831" s="2" t="e">
        <f t="shared" si="37"/>
        <v>#N/A</v>
      </c>
      <c r="H831" s="2" t="e">
        <f t="shared" si="38"/>
        <v>#N/A</v>
      </c>
    </row>
    <row r="832" spans="6:8" x14ac:dyDescent="0.25">
      <c r="F832" s="2" t="e">
        <f t="shared" si="36"/>
        <v>#N/A</v>
      </c>
      <c r="G832" s="2" t="e">
        <f t="shared" si="37"/>
        <v>#N/A</v>
      </c>
      <c r="H832" s="2" t="e">
        <f t="shared" si="38"/>
        <v>#N/A</v>
      </c>
    </row>
    <row r="833" spans="6:8" x14ac:dyDescent="0.25">
      <c r="F833" s="2" t="e">
        <f t="shared" si="36"/>
        <v>#N/A</v>
      </c>
      <c r="G833" s="2" t="e">
        <f t="shared" si="37"/>
        <v>#N/A</v>
      </c>
      <c r="H833" s="2" t="e">
        <f t="shared" si="38"/>
        <v>#N/A</v>
      </c>
    </row>
    <row r="834" spans="6:8" x14ac:dyDescent="0.25">
      <c r="F834" s="2" t="e">
        <f t="shared" si="36"/>
        <v>#N/A</v>
      </c>
      <c r="G834" s="2" t="e">
        <f t="shared" si="37"/>
        <v>#N/A</v>
      </c>
      <c r="H834" s="2" t="e">
        <f t="shared" si="38"/>
        <v>#N/A</v>
      </c>
    </row>
    <row r="835" spans="6:8" x14ac:dyDescent="0.25">
      <c r="F835" s="2" t="e">
        <f t="shared" si="36"/>
        <v>#N/A</v>
      </c>
      <c r="G835" s="2" t="e">
        <f t="shared" si="37"/>
        <v>#N/A</v>
      </c>
      <c r="H835" s="2" t="e">
        <f t="shared" si="38"/>
        <v>#N/A</v>
      </c>
    </row>
    <row r="836" spans="6:8" x14ac:dyDescent="0.25">
      <c r="F836" s="2" t="e">
        <f t="shared" si="36"/>
        <v>#N/A</v>
      </c>
      <c r="G836" s="2" t="e">
        <f t="shared" si="37"/>
        <v>#N/A</v>
      </c>
      <c r="H836" s="2" t="e">
        <f t="shared" si="38"/>
        <v>#N/A</v>
      </c>
    </row>
    <row r="837" spans="6:8" x14ac:dyDescent="0.25">
      <c r="F837" s="2" t="e">
        <f t="shared" si="36"/>
        <v>#N/A</v>
      </c>
      <c r="G837" s="2" t="e">
        <f t="shared" si="37"/>
        <v>#N/A</v>
      </c>
      <c r="H837" s="2" t="e">
        <f t="shared" si="38"/>
        <v>#N/A</v>
      </c>
    </row>
    <row r="838" spans="6:8" x14ac:dyDescent="0.25">
      <c r="F838" s="2" t="e">
        <f t="shared" ref="F838:F901" si="39">IF(F837&lt;2,F837+$D$6,NA())</f>
        <v>#N/A</v>
      </c>
      <c r="G838" s="2" t="e">
        <f t="shared" ref="G838:G901" si="40">IF(ISNA(F838), NA(),(1+$D$3*$D$6)*G837+$D$6*$D$4)</f>
        <v>#N/A</v>
      </c>
      <c r="H838" s="2" t="e">
        <f t="shared" ref="H838:H901" si="41">IF(ISNA(G838),NA(),$D$7*EXP($D$3*F838)-($D$4/$D$3))</f>
        <v>#N/A</v>
      </c>
    </row>
    <row r="839" spans="6:8" x14ac:dyDescent="0.25">
      <c r="F839" s="2" t="e">
        <f t="shared" si="39"/>
        <v>#N/A</v>
      </c>
      <c r="G839" s="2" t="e">
        <f t="shared" si="40"/>
        <v>#N/A</v>
      </c>
      <c r="H839" s="2" t="e">
        <f t="shared" si="41"/>
        <v>#N/A</v>
      </c>
    </row>
    <row r="840" spans="6:8" x14ac:dyDescent="0.25">
      <c r="F840" s="2" t="e">
        <f t="shared" si="39"/>
        <v>#N/A</v>
      </c>
      <c r="G840" s="2" t="e">
        <f t="shared" si="40"/>
        <v>#N/A</v>
      </c>
      <c r="H840" s="2" t="e">
        <f t="shared" si="41"/>
        <v>#N/A</v>
      </c>
    </row>
    <row r="841" spans="6:8" x14ac:dyDescent="0.25">
      <c r="F841" s="2" t="e">
        <f t="shared" si="39"/>
        <v>#N/A</v>
      </c>
      <c r="G841" s="2" t="e">
        <f t="shared" si="40"/>
        <v>#N/A</v>
      </c>
      <c r="H841" s="2" t="e">
        <f t="shared" si="41"/>
        <v>#N/A</v>
      </c>
    </row>
    <row r="842" spans="6:8" x14ac:dyDescent="0.25">
      <c r="F842" s="2" t="e">
        <f t="shared" si="39"/>
        <v>#N/A</v>
      </c>
      <c r="G842" s="2" t="e">
        <f t="shared" si="40"/>
        <v>#N/A</v>
      </c>
      <c r="H842" s="2" t="e">
        <f t="shared" si="41"/>
        <v>#N/A</v>
      </c>
    </row>
    <row r="843" spans="6:8" x14ac:dyDescent="0.25">
      <c r="F843" s="2" t="e">
        <f t="shared" si="39"/>
        <v>#N/A</v>
      </c>
      <c r="G843" s="2" t="e">
        <f t="shared" si="40"/>
        <v>#N/A</v>
      </c>
      <c r="H843" s="2" t="e">
        <f t="shared" si="41"/>
        <v>#N/A</v>
      </c>
    </row>
    <row r="844" spans="6:8" x14ac:dyDescent="0.25">
      <c r="F844" s="2" t="e">
        <f t="shared" si="39"/>
        <v>#N/A</v>
      </c>
      <c r="G844" s="2" t="e">
        <f t="shared" si="40"/>
        <v>#N/A</v>
      </c>
      <c r="H844" s="2" t="e">
        <f t="shared" si="41"/>
        <v>#N/A</v>
      </c>
    </row>
    <row r="845" spans="6:8" x14ac:dyDescent="0.25">
      <c r="F845" s="2" t="e">
        <f t="shared" si="39"/>
        <v>#N/A</v>
      </c>
      <c r="G845" s="2" t="e">
        <f t="shared" si="40"/>
        <v>#N/A</v>
      </c>
      <c r="H845" s="2" t="e">
        <f t="shared" si="41"/>
        <v>#N/A</v>
      </c>
    </row>
    <row r="846" spans="6:8" x14ac:dyDescent="0.25">
      <c r="F846" s="2" t="e">
        <f t="shared" si="39"/>
        <v>#N/A</v>
      </c>
      <c r="G846" s="2" t="e">
        <f t="shared" si="40"/>
        <v>#N/A</v>
      </c>
      <c r="H846" s="2" t="e">
        <f t="shared" si="41"/>
        <v>#N/A</v>
      </c>
    </row>
    <row r="847" spans="6:8" x14ac:dyDescent="0.25">
      <c r="F847" s="2" t="e">
        <f t="shared" si="39"/>
        <v>#N/A</v>
      </c>
      <c r="G847" s="2" t="e">
        <f t="shared" si="40"/>
        <v>#N/A</v>
      </c>
      <c r="H847" s="2" t="e">
        <f t="shared" si="41"/>
        <v>#N/A</v>
      </c>
    </row>
    <row r="848" spans="6:8" x14ac:dyDescent="0.25">
      <c r="F848" s="2" t="e">
        <f t="shared" si="39"/>
        <v>#N/A</v>
      </c>
      <c r="G848" s="2" t="e">
        <f t="shared" si="40"/>
        <v>#N/A</v>
      </c>
      <c r="H848" s="2" t="e">
        <f t="shared" si="41"/>
        <v>#N/A</v>
      </c>
    </row>
    <row r="849" spans="6:8" x14ac:dyDescent="0.25">
      <c r="F849" s="2" t="e">
        <f t="shared" si="39"/>
        <v>#N/A</v>
      </c>
      <c r="G849" s="2" t="e">
        <f t="shared" si="40"/>
        <v>#N/A</v>
      </c>
      <c r="H849" s="2" t="e">
        <f t="shared" si="41"/>
        <v>#N/A</v>
      </c>
    </row>
    <row r="850" spans="6:8" x14ac:dyDescent="0.25">
      <c r="F850" s="2" t="e">
        <f t="shared" si="39"/>
        <v>#N/A</v>
      </c>
      <c r="G850" s="2" t="e">
        <f t="shared" si="40"/>
        <v>#N/A</v>
      </c>
      <c r="H850" s="2" t="e">
        <f t="shared" si="41"/>
        <v>#N/A</v>
      </c>
    </row>
    <row r="851" spans="6:8" x14ac:dyDescent="0.25">
      <c r="F851" s="2" t="e">
        <f t="shared" si="39"/>
        <v>#N/A</v>
      </c>
      <c r="G851" s="2" t="e">
        <f t="shared" si="40"/>
        <v>#N/A</v>
      </c>
      <c r="H851" s="2" t="e">
        <f t="shared" si="41"/>
        <v>#N/A</v>
      </c>
    </row>
    <row r="852" spans="6:8" x14ac:dyDescent="0.25">
      <c r="F852" s="2" t="e">
        <f t="shared" si="39"/>
        <v>#N/A</v>
      </c>
      <c r="G852" s="2" t="e">
        <f t="shared" si="40"/>
        <v>#N/A</v>
      </c>
      <c r="H852" s="2" t="e">
        <f t="shared" si="41"/>
        <v>#N/A</v>
      </c>
    </row>
    <row r="853" spans="6:8" x14ac:dyDescent="0.25">
      <c r="F853" s="2" t="e">
        <f t="shared" si="39"/>
        <v>#N/A</v>
      </c>
      <c r="G853" s="2" t="e">
        <f t="shared" si="40"/>
        <v>#N/A</v>
      </c>
      <c r="H853" s="2" t="e">
        <f t="shared" si="41"/>
        <v>#N/A</v>
      </c>
    </row>
    <row r="854" spans="6:8" x14ac:dyDescent="0.25">
      <c r="F854" s="2" t="e">
        <f t="shared" si="39"/>
        <v>#N/A</v>
      </c>
      <c r="G854" s="2" t="e">
        <f t="shared" si="40"/>
        <v>#N/A</v>
      </c>
      <c r="H854" s="2" t="e">
        <f t="shared" si="41"/>
        <v>#N/A</v>
      </c>
    </row>
    <row r="855" spans="6:8" x14ac:dyDescent="0.25">
      <c r="F855" s="2" t="e">
        <f t="shared" si="39"/>
        <v>#N/A</v>
      </c>
      <c r="G855" s="2" t="e">
        <f t="shared" si="40"/>
        <v>#N/A</v>
      </c>
      <c r="H855" s="2" t="e">
        <f t="shared" si="41"/>
        <v>#N/A</v>
      </c>
    </row>
    <row r="856" spans="6:8" x14ac:dyDescent="0.25">
      <c r="F856" s="2" t="e">
        <f t="shared" si="39"/>
        <v>#N/A</v>
      </c>
      <c r="G856" s="2" t="e">
        <f t="shared" si="40"/>
        <v>#N/A</v>
      </c>
      <c r="H856" s="2" t="e">
        <f t="shared" si="41"/>
        <v>#N/A</v>
      </c>
    </row>
    <row r="857" spans="6:8" x14ac:dyDescent="0.25">
      <c r="F857" s="2" t="e">
        <f t="shared" si="39"/>
        <v>#N/A</v>
      </c>
      <c r="G857" s="2" t="e">
        <f t="shared" si="40"/>
        <v>#N/A</v>
      </c>
      <c r="H857" s="2" t="e">
        <f t="shared" si="41"/>
        <v>#N/A</v>
      </c>
    </row>
    <row r="858" spans="6:8" x14ac:dyDescent="0.25">
      <c r="F858" s="2" t="e">
        <f t="shared" si="39"/>
        <v>#N/A</v>
      </c>
      <c r="G858" s="2" t="e">
        <f t="shared" si="40"/>
        <v>#N/A</v>
      </c>
      <c r="H858" s="2" t="e">
        <f t="shared" si="41"/>
        <v>#N/A</v>
      </c>
    </row>
    <row r="859" spans="6:8" x14ac:dyDescent="0.25">
      <c r="F859" s="2" t="e">
        <f t="shared" si="39"/>
        <v>#N/A</v>
      </c>
      <c r="G859" s="2" t="e">
        <f t="shared" si="40"/>
        <v>#N/A</v>
      </c>
      <c r="H859" s="2" t="e">
        <f t="shared" si="41"/>
        <v>#N/A</v>
      </c>
    </row>
    <row r="860" spans="6:8" x14ac:dyDescent="0.25">
      <c r="F860" s="2" t="e">
        <f t="shared" si="39"/>
        <v>#N/A</v>
      </c>
      <c r="G860" s="2" t="e">
        <f t="shared" si="40"/>
        <v>#N/A</v>
      </c>
      <c r="H860" s="2" t="e">
        <f t="shared" si="41"/>
        <v>#N/A</v>
      </c>
    </row>
    <row r="861" spans="6:8" x14ac:dyDescent="0.25">
      <c r="F861" s="2" t="e">
        <f t="shared" si="39"/>
        <v>#N/A</v>
      </c>
      <c r="G861" s="2" t="e">
        <f t="shared" si="40"/>
        <v>#N/A</v>
      </c>
      <c r="H861" s="2" t="e">
        <f t="shared" si="41"/>
        <v>#N/A</v>
      </c>
    </row>
    <row r="862" spans="6:8" x14ac:dyDescent="0.25">
      <c r="F862" s="2" t="e">
        <f t="shared" si="39"/>
        <v>#N/A</v>
      </c>
      <c r="G862" s="2" t="e">
        <f t="shared" si="40"/>
        <v>#N/A</v>
      </c>
      <c r="H862" s="2" t="e">
        <f t="shared" si="41"/>
        <v>#N/A</v>
      </c>
    </row>
    <row r="863" spans="6:8" x14ac:dyDescent="0.25">
      <c r="F863" s="2" t="e">
        <f t="shared" si="39"/>
        <v>#N/A</v>
      </c>
      <c r="G863" s="2" t="e">
        <f t="shared" si="40"/>
        <v>#N/A</v>
      </c>
      <c r="H863" s="2" t="e">
        <f t="shared" si="41"/>
        <v>#N/A</v>
      </c>
    </row>
    <row r="864" spans="6:8" x14ac:dyDescent="0.25">
      <c r="F864" s="2" t="e">
        <f t="shared" si="39"/>
        <v>#N/A</v>
      </c>
      <c r="G864" s="2" t="e">
        <f t="shared" si="40"/>
        <v>#N/A</v>
      </c>
      <c r="H864" s="2" t="e">
        <f t="shared" si="41"/>
        <v>#N/A</v>
      </c>
    </row>
    <row r="865" spans="6:8" x14ac:dyDescent="0.25">
      <c r="F865" s="2" t="e">
        <f t="shared" si="39"/>
        <v>#N/A</v>
      </c>
      <c r="G865" s="2" t="e">
        <f t="shared" si="40"/>
        <v>#N/A</v>
      </c>
      <c r="H865" s="2" t="e">
        <f t="shared" si="41"/>
        <v>#N/A</v>
      </c>
    </row>
    <row r="866" spans="6:8" x14ac:dyDescent="0.25">
      <c r="F866" s="2" t="e">
        <f t="shared" si="39"/>
        <v>#N/A</v>
      </c>
      <c r="G866" s="2" t="e">
        <f t="shared" si="40"/>
        <v>#N/A</v>
      </c>
      <c r="H866" s="2" t="e">
        <f t="shared" si="41"/>
        <v>#N/A</v>
      </c>
    </row>
    <row r="867" spans="6:8" x14ac:dyDescent="0.25">
      <c r="F867" s="2" t="e">
        <f t="shared" si="39"/>
        <v>#N/A</v>
      </c>
      <c r="G867" s="2" t="e">
        <f t="shared" si="40"/>
        <v>#N/A</v>
      </c>
      <c r="H867" s="2" t="e">
        <f t="shared" si="41"/>
        <v>#N/A</v>
      </c>
    </row>
    <row r="868" spans="6:8" x14ac:dyDescent="0.25">
      <c r="F868" s="2" t="e">
        <f t="shared" si="39"/>
        <v>#N/A</v>
      </c>
      <c r="G868" s="2" t="e">
        <f t="shared" si="40"/>
        <v>#N/A</v>
      </c>
      <c r="H868" s="2" t="e">
        <f t="shared" si="41"/>
        <v>#N/A</v>
      </c>
    </row>
    <row r="869" spans="6:8" x14ac:dyDescent="0.25">
      <c r="F869" s="2" t="e">
        <f t="shared" si="39"/>
        <v>#N/A</v>
      </c>
      <c r="G869" s="2" t="e">
        <f t="shared" si="40"/>
        <v>#N/A</v>
      </c>
      <c r="H869" s="2" t="e">
        <f t="shared" si="41"/>
        <v>#N/A</v>
      </c>
    </row>
    <row r="870" spans="6:8" x14ac:dyDescent="0.25">
      <c r="F870" s="2" t="e">
        <f t="shared" si="39"/>
        <v>#N/A</v>
      </c>
      <c r="G870" s="2" t="e">
        <f t="shared" si="40"/>
        <v>#N/A</v>
      </c>
      <c r="H870" s="2" t="e">
        <f t="shared" si="41"/>
        <v>#N/A</v>
      </c>
    </row>
    <row r="871" spans="6:8" x14ac:dyDescent="0.25">
      <c r="F871" s="2" t="e">
        <f t="shared" si="39"/>
        <v>#N/A</v>
      </c>
      <c r="G871" s="2" t="e">
        <f t="shared" si="40"/>
        <v>#N/A</v>
      </c>
      <c r="H871" s="2" t="e">
        <f t="shared" si="41"/>
        <v>#N/A</v>
      </c>
    </row>
    <row r="872" spans="6:8" x14ac:dyDescent="0.25">
      <c r="F872" s="2" t="e">
        <f t="shared" si="39"/>
        <v>#N/A</v>
      </c>
      <c r="G872" s="2" t="e">
        <f t="shared" si="40"/>
        <v>#N/A</v>
      </c>
      <c r="H872" s="2" t="e">
        <f t="shared" si="41"/>
        <v>#N/A</v>
      </c>
    </row>
    <row r="873" spans="6:8" x14ac:dyDescent="0.25">
      <c r="F873" s="2" t="e">
        <f t="shared" si="39"/>
        <v>#N/A</v>
      </c>
      <c r="G873" s="2" t="e">
        <f t="shared" si="40"/>
        <v>#N/A</v>
      </c>
      <c r="H873" s="2" t="e">
        <f t="shared" si="41"/>
        <v>#N/A</v>
      </c>
    </row>
    <row r="874" spans="6:8" x14ac:dyDescent="0.25">
      <c r="F874" s="2" t="e">
        <f t="shared" si="39"/>
        <v>#N/A</v>
      </c>
      <c r="G874" s="2" t="e">
        <f t="shared" si="40"/>
        <v>#N/A</v>
      </c>
      <c r="H874" s="2" t="e">
        <f t="shared" si="41"/>
        <v>#N/A</v>
      </c>
    </row>
    <row r="875" spans="6:8" x14ac:dyDescent="0.25">
      <c r="F875" s="2" t="e">
        <f t="shared" si="39"/>
        <v>#N/A</v>
      </c>
      <c r="G875" s="2" t="e">
        <f t="shared" si="40"/>
        <v>#N/A</v>
      </c>
      <c r="H875" s="2" t="e">
        <f t="shared" si="41"/>
        <v>#N/A</v>
      </c>
    </row>
    <row r="876" spans="6:8" x14ac:dyDescent="0.25">
      <c r="F876" s="2" t="e">
        <f t="shared" si="39"/>
        <v>#N/A</v>
      </c>
      <c r="G876" s="2" t="e">
        <f t="shared" si="40"/>
        <v>#N/A</v>
      </c>
      <c r="H876" s="2" t="e">
        <f t="shared" si="41"/>
        <v>#N/A</v>
      </c>
    </row>
    <row r="877" spans="6:8" x14ac:dyDescent="0.25">
      <c r="F877" s="2" t="e">
        <f t="shared" si="39"/>
        <v>#N/A</v>
      </c>
      <c r="G877" s="2" t="e">
        <f t="shared" si="40"/>
        <v>#N/A</v>
      </c>
      <c r="H877" s="2" t="e">
        <f t="shared" si="41"/>
        <v>#N/A</v>
      </c>
    </row>
    <row r="878" spans="6:8" x14ac:dyDescent="0.25">
      <c r="F878" s="2" t="e">
        <f t="shared" si="39"/>
        <v>#N/A</v>
      </c>
      <c r="G878" s="2" t="e">
        <f t="shared" si="40"/>
        <v>#N/A</v>
      </c>
      <c r="H878" s="2" t="e">
        <f t="shared" si="41"/>
        <v>#N/A</v>
      </c>
    </row>
    <row r="879" spans="6:8" x14ac:dyDescent="0.25">
      <c r="F879" s="2" t="e">
        <f t="shared" si="39"/>
        <v>#N/A</v>
      </c>
      <c r="G879" s="2" t="e">
        <f t="shared" si="40"/>
        <v>#N/A</v>
      </c>
      <c r="H879" s="2" t="e">
        <f t="shared" si="41"/>
        <v>#N/A</v>
      </c>
    </row>
    <row r="880" spans="6:8" x14ac:dyDescent="0.25">
      <c r="F880" s="2" t="e">
        <f t="shared" si="39"/>
        <v>#N/A</v>
      </c>
      <c r="G880" s="2" t="e">
        <f t="shared" si="40"/>
        <v>#N/A</v>
      </c>
      <c r="H880" s="2" t="e">
        <f t="shared" si="41"/>
        <v>#N/A</v>
      </c>
    </row>
    <row r="881" spans="6:8" x14ac:dyDescent="0.25">
      <c r="F881" s="2" t="e">
        <f t="shared" si="39"/>
        <v>#N/A</v>
      </c>
      <c r="G881" s="2" t="e">
        <f t="shared" si="40"/>
        <v>#N/A</v>
      </c>
      <c r="H881" s="2" t="e">
        <f t="shared" si="41"/>
        <v>#N/A</v>
      </c>
    </row>
    <row r="882" spans="6:8" x14ac:dyDescent="0.25">
      <c r="F882" s="2" t="e">
        <f t="shared" si="39"/>
        <v>#N/A</v>
      </c>
      <c r="G882" s="2" t="e">
        <f t="shared" si="40"/>
        <v>#N/A</v>
      </c>
      <c r="H882" s="2" t="e">
        <f t="shared" si="41"/>
        <v>#N/A</v>
      </c>
    </row>
    <row r="883" spans="6:8" x14ac:dyDescent="0.25">
      <c r="F883" s="2" t="e">
        <f t="shared" si="39"/>
        <v>#N/A</v>
      </c>
      <c r="G883" s="2" t="e">
        <f t="shared" si="40"/>
        <v>#N/A</v>
      </c>
      <c r="H883" s="2" t="e">
        <f t="shared" si="41"/>
        <v>#N/A</v>
      </c>
    </row>
    <row r="884" spans="6:8" x14ac:dyDescent="0.25">
      <c r="F884" s="2" t="e">
        <f t="shared" si="39"/>
        <v>#N/A</v>
      </c>
      <c r="G884" s="2" t="e">
        <f t="shared" si="40"/>
        <v>#N/A</v>
      </c>
      <c r="H884" s="2" t="e">
        <f t="shared" si="41"/>
        <v>#N/A</v>
      </c>
    </row>
    <row r="885" spans="6:8" x14ac:dyDescent="0.25">
      <c r="F885" s="2" t="e">
        <f t="shared" si="39"/>
        <v>#N/A</v>
      </c>
      <c r="G885" s="2" t="e">
        <f t="shared" si="40"/>
        <v>#N/A</v>
      </c>
      <c r="H885" s="2" t="e">
        <f t="shared" si="41"/>
        <v>#N/A</v>
      </c>
    </row>
    <row r="886" spans="6:8" x14ac:dyDescent="0.25">
      <c r="F886" s="2" t="e">
        <f t="shared" si="39"/>
        <v>#N/A</v>
      </c>
      <c r="G886" s="2" t="e">
        <f t="shared" si="40"/>
        <v>#N/A</v>
      </c>
      <c r="H886" s="2" t="e">
        <f t="shared" si="41"/>
        <v>#N/A</v>
      </c>
    </row>
    <row r="887" spans="6:8" x14ac:dyDescent="0.25">
      <c r="F887" s="2" t="e">
        <f t="shared" si="39"/>
        <v>#N/A</v>
      </c>
      <c r="G887" s="2" t="e">
        <f t="shared" si="40"/>
        <v>#N/A</v>
      </c>
      <c r="H887" s="2" t="e">
        <f t="shared" si="41"/>
        <v>#N/A</v>
      </c>
    </row>
    <row r="888" spans="6:8" x14ac:dyDescent="0.25">
      <c r="F888" s="2" t="e">
        <f t="shared" si="39"/>
        <v>#N/A</v>
      </c>
      <c r="G888" s="2" t="e">
        <f t="shared" si="40"/>
        <v>#N/A</v>
      </c>
      <c r="H888" s="2" t="e">
        <f t="shared" si="41"/>
        <v>#N/A</v>
      </c>
    </row>
    <row r="889" spans="6:8" x14ac:dyDescent="0.25">
      <c r="F889" s="2" t="e">
        <f t="shared" si="39"/>
        <v>#N/A</v>
      </c>
      <c r="G889" s="2" t="e">
        <f t="shared" si="40"/>
        <v>#N/A</v>
      </c>
      <c r="H889" s="2" t="e">
        <f t="shared" si="41"/>
        <v>#N/A</v>
      </c>
    </row>
    <row r="890" spans="6:8" x14ac:dyDescent="0.25">
      <c r="F890" s="2" t="e">
        <f t="shared" si="39"/>
        <v>#N/A</v>
      </c>
      <c r="G890" s="2" t="e">
        <f t="shared" si="40"/>
        <v>#N/A</v>
      </c>
      <c r="H890" s="2" t="e">
        <f t="shared" si="41"/>
        <v>#N/A</v>
      </c>
    </row>
    <row r="891" spans="6:8" x14ac:dyDescent="0.25">
      <c r="F891" s="2" t="e">
        <f t="shared" si="39"/>
        <v>#N/A</v>
      </c>
      <c r="G891" s="2" t="e">
        <f t="shared" si="40"/>
        <v>#N/A</v>
      </c>
      <c r="H891" s="2" t="e">
        <f t="shared" si="41"/>
        <v>#N/A</v>
      </c>
    </row>
    <row r="892" spans="6:8" x14ac:dyDescent="0.25">
      <c r="F892" s="2" t="e">
        <f t="shared" si="39"/>
        <v>#N/A</v>
      </c>
      <c r="G892" s="2" t="e">
        <f t="shared" si="40"/>
        <v>#N/A</v>
      </c>
      <c r="H892" s="2" t="e">
        <f t="shared" si="41"/>
        <v>#N/A</v>
      </c>
    </row>
    <row r="893" spans="6:8" x14ac:dyDescent="0.25">
      <c r="F893" s="2" t="e">
        <f t="shared" si="39"/>
        <v>#N/A</v>
      </c>
      <c r="G893" s="2" t="e">
        <f t="shared" si="40"/>
        <v>#N/A</v>
      </c>
      <c r="H893" s="2" t="e">
        <f t="shared" si="41"/>
        <v>#N/A</v>
      </c>
    </row>
    <row r="894" spans="6:8" x14ac:dyDescent="0.25">
      <c r="F894" s="2" t="e">
        <f t="shared" si="39"/>
        <v>#N/A</v>
      </c>
      <c r="G894" s="2" t="e">
        <f t="shared" si="40"/>
        <v>#N/A</v>
      </c>
      <c r="H894" s="2" t="e">
        <f t="shared" si="41"/>
        <v>#N/A</v>
      </c>
    </row>
    <row r="895" spans="6:8" x14ac:dyDescent="0.25">
      <c r="F895" s="2" t="e">
        <f t="shared" si="39"/>
        <v>#N/A</v>
      </c>
      <c r="G895" s="2" t="e">
        <f t="shared" si="40"/>
        <v>#N/A</v>
      </c>
      <c r="H895" s="2" t="e">
        <f t="shared" si="41"/>
        <v>#N/A</v>
      </c>
    </row>
    <row r="896" spans="6:8" x14ac:dyDescent="0.25">
      <c r="F896" s="2" t="e">
        <f t="shared" si="39"/>
        <v>#N/A</v>
      </c>
      <c r="G896" s="2" t="e">
        <f t="shared" si="40"/>
        <v>#N/A</v>
      </c>
      <c r="H896" s="2" t="e">
        <f t="shared" si="41"/>
        <v>#N/A</v>
      </c>
    </row>
    <row r="897" spans="6:8" x14ac:dyDescent="0.25">
      <c r="F897" s="2" t="e">
        <f t="shared" si="39"/>
        <v>#N/A</v>
      </c>
      <c r="G897" s="2" t="e">
        <f t="shared" si="40"/>
        <v>#N/A</v>
      </c>
      <c r="H897" s="2" t="e">
        <f t="shared" si="41"/>
        <v>#N/A</v>
      </c>
    </row>
    <row r="898" spans="6:8" x14ac:dyDescent="0.25">
      <c r="F898" s="2" t="e">
        <f t="shared" si="39"/>
        <v>#N/A</v>
      </c>
      <c r="G898" s="2" t="e">
        <f t="shared" si="40"/>
        <v>#N/A</v>
      </c>
      <c r="H898" s="2" t="e">
        <f t="shared" si="41"/>
        <v>#N/A</v>
      </c>
    </row>
    <row r="899" spans="6:8" x14ac:dyDescent="0.25">
      <c r="F899" s="2" t="e">
        <f t="shared" si="39"/>
        <v>#N/A</v>
      </c>
      <c r="G899" s="2" t="e">
        <f t="shared" si="40"/>
        <v>#N/A</v>
      </c>
      <c r="H899" s="2" t="e">
        <f t="shared" si="41"/>
        <v>#N/A</v>
      </c>
    </row>
    <row r="900" spans="6:8" x14ac:dyDescent="0.25">
      <c r="F900" s="2" t="e">
        <f t="shared" si="39"/>
        <v>#N/A</v>
      </c>
      <c r="G900" s="2" t="e">
        <f t="shared" si="40"/>
        <v>#N/A</v>
      </c>
      <c r="H900" s="2" t="e">
        <f t="shared" si="41"/>
        <v>#N/A</v>
      </c>
    </row>
    <row r="901" spans="6:8" x14ac:dyDescent="0.25">
      <c r="F901" s="2" t="e">
        <f t="shared" si="39"/>
        <v>#N/A</v>
      </c>
      <c r="G901" s="2" t="e">
        <f t="shared" si="40"/>
        <v>#N/A</v>
      </c>
      <c r="H901" s="2" t="e">
        <f t="shared" si="41"/>
        <v>#N/A</v>
      </c>
    </row>
    <row r="902" spans="6:8" x14ac:dyDescent="0.25">
      <c r="F902" s="2" t="e">
        <f t="shared" ref="F902:F965" si="42">IF(F901&lt;2,F901+$D$6,NA())</f>
        <v>#N/A</v>
      </c>
      <c r="G902" s="2" t="e">
        <f t="shared" ref="G902:G965" si="43">IF(ISNA(F902), NA(),(1+$D$3*$D$6)*G901+$D$6*$D$4)</f>
        <v>#N/A</v>
      </c>
      <c r="H902" s="2" t="e">
        <f t="shared" ref="H902:H965" si="44">IF(ISNA(G902),NA(),$D$7*EXP($D$3*F902)-($D$4/$D$3))</f>
        <v>#N/A</v>
      </c>
    </row>
    <row r="903" spans="6:8" x14ac:dyDescent="0.25">
      <c r="F903" s="2" t="e">
        <f t="shared" si="42"/>
        <v>#N/A</v>
      </c>
      <c r="G903" s="2" t="e">
        <f t="shared" si="43"/>
        <v>#N/A</v>
      </c>
      <c r="H903" s="2" t="e">
        <f t="shared" si="44"/>
        <v>#N/A</v>
      </c>
    </row>
    <row r="904" spans="6:8" x14ac:dyDescent="0.25">
      <c r="F904" s="2" t="e">
        <f t="shared" si="42"/>
        <v>#N/A</v>
      </c>
      <c r="G904" s="2" t="e">
        <f t="shared" si="43"/>
        <v>#N/A</v>
      </c>
      <c r="H904" s="2" t="e">
        <f t="shared" si="44"/>
        <v>#N/A</v>
      </c>
    </row>
    <row r="905" spans="6:8" x14ac:dyDescent="0.25">
      <c r="F905" s="2" t="e">
        <f t="shared" si="42"/>
        <v>#N/A</v>
      </c>
      <c r="G905" s="2" t="e">
        <f t="shared" si="43"/>
        <v>#N/A</v>
      </c>
      <c r="H905" s="2" t="e">
        <f t="shared" si="44"/>
        <v>#N/A</v>
      </c>
    </row>
    <row r="906" spans="6:8" x14ac:dyDescent="0.25">
      <c r="F906" s="2" t="e">
        <f t="shared" si="42"/>
        <v>#N/A</v>
      </c>
      <c r="G906" s="2" t="e">
        <f t="shared" si="43"/>
        <v>#N/A</v>
      </c>
      <c r="H906" s="2" t="e">
        <f t="shared" si="44"/>
        <v>#N/A</v>
      </c>
    </row>
    <row r="907" spans="6:8" x14ac:dyDescent="0.25">
      <c r="F907" s="2" t="e">
        <f t="shared" si="42"/>
        <v>#N/A</v>
      </c>
      <c r="G907" s="2" t="e">
        <f t="shared" si="43"/>
        <v>#N/A</v>
      </c>
      <c r="H907" s="2" t="e">
        <f t="shared" si="44"/>
        <v>#N/A</v>
      </c>
    </row>
    <row r="908" spans="6:8" x14ac:dyDescent="0.25">
      <c r="F908" s="2" t="e">
        <f t="shared" si="42"/>
        <v>#N/A</v>
      </c>
      <c r="G908" s="2" t="e">
        <f t="shared" si="43"/>
        <v>#N/A</v>
      </c>
      <c r="H908" s="2" t="e">
        <f t="shared" si="44"/>
        <v>#N/A</v>
      </c>
    </row>
    <row r="909" spans="6:8" x14ac:dyDescent="0.25">
      <c r="F909" s="2" t="e">
        <f t="shared" si="42"/>
        <v>#N/A</v>
      </c>
      <c r="G909" s="2" t="e">
        <f t="shared" si="43"/>
        <v>#N/A</v>
      </c>
      <c r="H909" s="2" t="e">
        <f t="shared" si="44"/>
        <v>#N/A</v>
      </c>
    </row>
    <row r="910" spans="6:8" x14ac:dyDescent="0.25">
      <c r="F910" s="2" t="e">
        <f t="shared" si="42"/>
        <v>#N/A</v>
      </c>
      <c r="G910" s="2" t="e">
        <f t="shared" si="43"/>
        <v>#N/A</v>
      </c>
      <c r="H910" s="2" t="e">
        <f t="shared" si="44"/>
        <v>#N/A</v>
      </c>
    </row>
    <row r="911" spans="6:8" x14ac:dyDescent="0.25">
      <c r="F911" s="2" t="e">
        <f t="shared" si="42"/>
        <v>#N/A</v>
      </c>
      <c r="G911" s="2" t="e">
        <f t="shared" si="43"/>
        <v>#N/A</v>
      </c>
      <c r="H911" s="2" t="e">
        <f t="shared" si="44"/>
        <v>#N/A</v>
      </c>
    </row>
    <row r="912" spans="6:8" x14ac:dyDescent="0.25">
      <c r="F912" s="2" t="e">
        <f t="shared" si="42"/>
        <v>#N/A</v>
      </c>
      <c r="G912" s="2" t="e">
        <f t="shared" si="43"/>
        <v>#N/A</v>
      </c>
      <c r="H912" s="2" t="e">
        <f t="shared" si="44"/>
        <v>#N/A</v>
      </c>
    </row>
    <row r="913" spans="6:8" x14ac:dyDescent="0.25">
      <c r="F913" s="2" t="e">
        <f t="shared" si="42"/>
        <v>#N/A</v>
      </c>
      <c r="G913" s="2" t="e">
        <f t="shared" si="43"/>
        <v>#N/A</v>
      </c>
      <c r="H913" s="2" t="e">
        <f t="shared" si="44"/>
        <v>#N/A</v>
      </c>
    </row>
    <row r="914" spans="6:8" x14ac:dyDescent="0.25">
      <c r="F914" s="2" t="e">
        <f t="shared" si="42"/>
        <v>#N/A</v>
      </c>
      <c r="G914" s="2" t="e">
        <f t="shared" si="43"/>
        <v>#N/A</v>
      </c>
      <c r="H914" s="2" t="e">
        <f t="shared" si="44"/>
        <v>#N/A</v>
      </c>
    </row>
    <row r="915" spans="6:8" x14ac:dyDescent="0.25">
      <c r="F915" s="2" t="e">
        <f t="shared" si="42"/>
        <v>#N/A</v>
      </c>
      <c r="G915" s="2" t="e">
        <f t="shared" si="43"/>
        <v>#N/A</v>
      </c>
      <c r="H915" s="2" t="e">
        <f t="shared" si="44"/>
        <v>#N/A</v>
      </c>
    </row>
    <row r="916" spans="6:8" x14ac:dyDescent="0.25">
      <c r="F916" s="2" t="e">
        <f t="shared" si="42"/>
        <v>#N/A</v>
      </c>
      <c r="G916" s="2" t="e">
        <f t="shared" si="43"/>
        <v>#N/A</v>
      </c>
      <c r="H916" s="2" t="e">
        <f t="shared" si="44"/>
        <v>#N/A</v>
      </c>
    </row>
    <row r="917" spans="6:8" x14ac:dyDescent="0.25">
      <c r="F917" s="2" t="e">
        <f t="shared" si="42"/>
        <v>#N/A</v>
      </c>
      <c r="G917" s="2" t="e">
        <f t="shared" si="43"/>
        <v>#N/A</v>
      </c>
      <c r="H917" s="2" t="e">
        <f t="shared" si="44"/>
        <v>#N/A</v>
      </c>
    </row>
    <row r="918" spans="6:8" x14ac:dyDescent="0.25">
      <c r="F918" s="2" t="e">
        <f t="shared" si="42"/>
        <v>#N/A</v>
      </c>
      <c r="G918" s="2" t="e">
        <f t="shared" si="43"/>
        <v>#N/A</v>
      </c>
      <c r="H918" s="2" t="e">
        <f t="shared" si="44"/>
        <v>#N/A</v>
      </c>
    </row>
    <row r="919" spans="6:8" x14ac:dyDescent="0.25">
      <c r="F919" s="2" t="e">
        <f t="shared" si="42"/>
        <v>#N/A</v>
      </c>
      <c r="G919" s="2" t="e">
        <f t="shared" si="43"/>
        <v>#N/A</v>
      </c>
      <c r="H919" s="2" t="e">
        <f t="shared" si="44"/>
        <v>#N/A</v>
      </c>
    </row>
    <row r="920" spans="6:8" x14ac:dyDescent="0.25">
      <c r="F920" s="2" t="e">
        <f t="shared" si="42"/>
        <v>#N/A</v>
      </c>
      <c r="G920" s="2" t="e">
        <f t="shared" si="43"/>
        <v>#N/A</v>
      </c>
      <c r="H920" s="2" t="e">
        <f t="shared" si="44"/>
        <v>#N/A</v>
      </c>
    </row>
    <row r="921" spans="6:8" x14ac:dyDescent="0.25">
      <c r="F921" s="2" t="e">
        <f t="shared" si="42"/>
        <v>#N/A</v>
      </c>
      <c r="G921" s="2" t="e">
        <f t="shared" si="43"/>
        <v>#N/A</v>
      </c>
      <c r="H921" s="2" t="e">
        <f t="shared" si="44"/>
        <v>#N/A</v>
      </c>
    </row>
    <row r="922" spans="6:8" x14ac:dyDescent="0.25">
      <c r="F922" s="2" t="e">
        <f t="shared" si="42"/>
        <v>#N/A</v>
      </c>
      <c r="G922" s="2" t="e">
        <f t="shared" si="43"/>
        <v>#N/A</v>
      </c>
      <c r="H922" s="2" t="e">
        <f t="shared" si="44"/>
        <v>#N/A</v>
      </c>
    </row>
    <row r="923" spans="6:8" x14ac:dyDescent="0.25">
      <c r="F923" s="2" t="e">
        <f t="shared" si="42"/>
        <v>#N/A</v>
      </c>
      <c r="G923" s="2" t="e">
        <f t="shared" si="43"/>
        <v>#N/A</v>
      </c>
      <c r="H923" s="2" t="e">
        <f t="shared" si="44"/>
        <v>#N/A</v>
      </c>
    </row>
    <row r="924" spans="6:8" x14ac:dyDescent="0.25">
      <c r="F924" s="2" t="e">
        <f t="shared" si="42"/>
        <v>#N/A</v>
      </c>
      <c r="G924" s="2" t="e">
        <f t="shared" si="43"/>
        <v>#N/A</v>
      </c>
      <c r="H924" s="2" t="e">
        <f t="shared" si="44"/>
        <v>#N/A</v>
      </c>
    </row>
    <row r="925" spans="6:8" x14ac:dyDescent="0.25">
      <c r="F925" s="2" t="e">
        <f t="shared" si="42"/>
        <v>#N/A</v>
      </c>
      <c r="G925" s="2" t="e">
        <f t="shared" si="43"/>
        <v>#N/A</v>
      </c>
      <c r="H925" s="2" t="e">
        <f t="shared" si="44"/>
        <v>#N/A</v>
      </c>
    </row>
    <row r="926" spans="6:8" x14ac:dyDescent="0.25">
      <c r="F926" s="2" t="e">
        <f t="shared" si="42"/>
        <v>#N/A</v>
      </c>
      <c r="G926" s="2" t="e">
        <f t="shared" si="43"/>
        <v>#N/A</v>
      </c>
      <c r="H926" s="2" t="e">
        <f t="shared" si="44"/>
        <v>#N/A</v>
      </c>
    </row>
    <row r="927" spans="6:8" x14ac:dyDescent="0.25">
      <c r="F927" s="2" t="e">
        <f t="shared" si="42"/>
        <v>#N/A</v>
      </c>
      <c r="G927" s="2" t="e">
        <f t="shared" si="43"/>
        <v>#N/A</v>
      </c>
      <c r="H927" s="2" t="e">
        <f t="shared" si="44"/>
        <v>#N/A</v>
      </c>
    </row>
    <row r="928" spans="6:8" x14ac:dyDescent="0.25">
      <c r="F928" s="2" t="e">
        <f t="shared" si="42"/>
        <v>#N/A</v>
      </c>
      <c r="G928" s="2" t="e">
        <f t="shared" si="43"/>
        <v>#N/A</v>
      </c>
      <c r="H928" s="2" t="e">
        <f t="shared" si="44"/>
        <v>#N/A</v>
      </c>
    </row>
    <row r="929" spans="6:8" x14ac:dyDescent="0.25">
      <c r="F929" s="2" t="e">
        <f t="shared" si="42"/>
        <v>#N/A</v>
      </c>
      <c r="G929" s="2" t="e">
        <f t="shared" si="43"/>
        <v>#N/A</v>
      </c>
      <c r="H929" s="2" t="e">
        <f t="shared" si="44"/>
        <v>#N/A</v>
      </c>
    </row>
    <row r="930" spans="6:8" x14ac:dyDescent="0.25">
      <c r="F930" s="2" t="e">
        <f t="shared" si="42"/>
        <v>#N/A</v>
      </c>
      <c r="G930" s="2" t="e">
        <f t="shared" si="43"/>
        <v>#N/A</v>
      </c>
      <c r="H930" s="2" t="e">
        <f t="shared" si="44"/>
        <v>#N/A</v>
      </c>
    </row>
    <row r="931" spans="6:8" x14ac:dyDescent="0.25">
      <c r="F931" s="2" t="e">
        <f t="shared" si="42"/>
        <v>#N/A</v>
      </c>
      <c r="G931" s="2" t="e">
        <f t="shared" si="43"/>
        <v>#N/A</v>
      </c>
      <c r="H931" s="2" t="e">
        <f t="shared" si="44"/>
        <v>#N/A</v>
      </c>
    </row>
    <row r="932" spans="6:8" x14ac:dyDescent="0.25">
      <c r="F932" s="2" t="e">
        <f t="shared" si="42"/>
        <v>#N/A</v>
      </c>
      <c r="G932" s="2" t="e">
        <f t="shared" si="43"/>
        <v>#N/A</v>
      </c>
      <c r="H932" s="2" t="e">
        <f t="shared" si="44"/>
        <v>#N/A</v>
      </c>
    </row>
    <row r="933" spans="6:8" x14ac:dyDescent="0.25">
      <c r="F933" s="2" t="e">
        <f t="shared" si="42"/>
        <v>#N/A</v>
      </c>
      <c r="G933" s="2" t="e">
        <f t="shared" si="43"/>
        <v>#N/A</v>
      </c>
      <c r="H933" s="2" t="e">
        <f t="shared" si="44"/>
        <v>#N/A</v>
      </c>
    </row>
    <row r="934" spans="6:8" x14ac:dyDescent="0.25">
      <c r="F934" s="2" t="e">
        <f t="shared" si="42"/>
        <v>#N/A</v>
      </c>
      <c r="G934" s="2" t="e">
        <f t="shared" si="43"/>
        <v>#N/A</v>
      </c>
      <c r="H934" s="2" t="e">
        <f t="shared" si="44"/>
        <v>#N/A</v>
      </c>
    </row>
    <row r="935" spans="6:8" x14ac:dyDescent="0.25">
      <c r="F935" s="2" t="e">
        <f t="shared" si="42"/>
        <v>#N/A</v>
      </c>
      <c r="G935" s="2" t="e">
        <f t="shared" si="43"/>
        <v>#N/A</v>
      </c>
      <c r="H935" s="2" t="e">
        <f t="shared" si="44"/>
        <v>#N/A</v>
      </c>
    </row>
    <row r="936" spans="6:8" x14ac:dyDescent="0.25">
      <c r="F936" s="2" t="e">
        <f t="shared" si="42"/>
        <v>#N/A</v>
      </c>
      <c r="G936" s="2" t="e">
        <f t="shared" si="43"/>
        <v>#N/A</v>
      </c>
      <c r="H936" s="2" t="e">
        <f t="shared" si="44"/>
        <v>#N/A</v>
      </c>
    </row>
    <row r="937" spans="6:8" x14ac:dyDescent="0.25">
      <c r="F937" s="2" t="e">
        <f t="shared" si="42"/>
        <v>#N/A</v>
      </c>
      <c r="G937" s="2" t="e">
        <f t="shared" si="43"/>
        <v>#N/A</v>
      </c>
      <c r="H937" s="2" t="e">
        <f t="shared" si="44"/>
        <v>#N/A</v>
      </c>
    </row>
    <row r="938" spans="6:8" x14ac:dyDescent="0.25">
      <c r="F938" s="2" t="e">
        <f t="shared" si="42"/>
        <v>#N/A</v>
      </c>
      <c r="G938" s="2" t="e">
        <f t="shared" si="43"/>
        <v>#N/A</v>
      </c>
      <c r="H938" s="2" t="e">
        <f t="shared" si="44"/>
        <v>#N/A</v>
      </c>
    </row>
    <row r="939" spans="6:8" x14ac:dyDescent="0.25">
      <c r="F939" s="2" t="e">
        <f t="shared" si="42"/>
        <v>#N/A</v>
      </c>
      <c r="G939" s="2" t="e">
        <f t="shared" si="43"/>
        <v>#N/A</v>
      </c>
      <c r="H939" s="2" t="e">
        <f t="shared" si="44"/>
        <v>#N/A</v>
      </c>
    </row>
    <row r="940" spans="6:8" x14ac:dyDescent="0.25">
      <c r="F940" s="2" t="e">
        <f t="shared" si="42"/>
        <v>#N/A</v>
      </c>
      <c r="G940" s="2" t="e">
        <f t="shared" si="43"/>
        <v>#N/A</v>
      </c>
      <c r="H940" s="2" t="e">
        <f t="shared" si="44"/>
        <v>#N/A</v>
      </c>
    </row>
    <row r="941" spans="6:8" x14ac:dyDescent="0.25">
      <c r="F941" s="2" t="e">
        <f t="shared" si="42"/>
        <v>#N/A</v>
      </c>
      <c r="G941" s="2" t="e">
        <f t="shared" si="43"/>
        <v>#N/A</v>
      </c>
      <c r="H941" s="2" t="e">
        <f t="shared" si="44"/>
        <v>#N/A</v>
      </c>
    </row>
    <row r="942" spans="6:8" x14ac:dyDescent="0.25">
      <c r="F942" s="2" t="e">
        <f t="shared" si="42"/>
        <v>#N/A</v>
      </c>
      <c r="G942" s="2" t="e">
        <f t="shared" si="43"/>
        <v>#N/A</v>
      </c>
      <c r="H942" s="2" t="e">
        <f t="shared" si="44"/>
        <v>#N/A</v>
      </c>
    </row>
    <row r="943" spans="6:8" x14ac:dyDescent="0.25">
      <c r="F943" s="2" t="e">
        <f t="shared" si="42"/>
        <v>#N/A</v>
      </c>
      <c r="G943" s="2" t="e">
        <f t="shared" si="43"/>
        <v>#N/A</v>
      </c>
      <c r="H943" s="2" t="e">
        <f t="shared" si="44"/>
        <v>#N/A</v>
      </c>
    </row>
    <row r="944" spans="6:8" x14ac:dyDescent="0.25">
      <c r="F944" s="2" t="e">
        <f t="shared" si="42"/>
        <v>#N/A</v>
      </c>
      <c r="G944" s="2" t="e">
        <f t="shared" si="43"/>
        <v>#N/A</v>
      </c>
      <c r="H944" s="2" t="e">
        <f t="shared" si="44"/>
        <v>#N/A</v>
      </c>
    </row>
    <row r="945" spans="6:8" x14ac:dyDescent="0.25">
      <c r="F945" s="2" t="e">
        <f t="shared" si="42"/>
        <v>#N/A</v>
      </c>
      <c r="G945" s="2" t="e">
        <f t="shared" si="43"/>
        <v>#N/A</v>
      </c>
      <c r="H945" s="2" t="e">
        <f t="shared" si="44"/>
        <v>#N/A</v>
      </c>
    </row>
    <row r="946" spans="6:8" x14ac:dyDescent="0.25">
      <c r="F946" s="2" t="e">
        <f t="shared" si="42"/>
        <v>#N/A</v>
      </c>
      <c r="G946" s="2" t="e">
        <f t="shared" si="43"/>
        <v>#N/A</v>
      </c>
      <c r="H946" s="2" t="e">
        <f t="shared" si="44"/>
        <v>#N/A</v>
      </c>
    </row>
    <row r="947" spans="6:8" x14ac:dyDescent="0.25">
      <c r="F947" s="2" t="e">
        <f t="shared" si="42"/>
        <v>#N/A</v>
      </c>
      <c r="G947" s="2" t="e">
        <f t="shared" si="43"/>
        <v>#N/A</v>
      </c>
      <c r="H947" s="2" t="e">
        <f t="shared" si="44"/>
        <v>#N/A</v>
      </c>
    </row>
    <row r="948" spans="6:8" x14ac:dyDescent="0.25">
      <c r="F948" s="2" t="e">
        <f t="shared" si="42"/>
        <v>#N/A</v>
      </c>
      <c r="G948" s="2" t="e">
        <f t="shared" si="43"/>
        <v>#N/A</v>
      </c>
      <c r="H948" s="2" t="e">
        <f t="shared" si="44"/>
        <v>#N/A</v>
      </c>
    </row>
    <row r="949" spans="6:8" x14ac:dyDescent="0.25">
      <c r="F949" s="2" t="e">
        <f t="shared" si="42"/>
        <v>#N/A</v>
      </c>
      <c r="G949" s="2" t="e">
        <f t="shared" si="43"/>
        <v>#N/A</v>
      </c>
      <c r="H949" s="2" t="e">
        <f t="shared" si="44"/>
        <v>#N/A</v>
      </c>
    </row>
    <row r="950" spans="6:8" x14ac:dyDescent="0.25">
      <c r="F950" s="2" t="e">
        <f t="shared" si="42"/>
        <v>#N/A</v>
      </c>
      <c r="G950" s="2" t="e">
        <f t="shared" si="43"/>
        <v>#N/A</v>
      </c>
      <c r="H950" s="2" t="e">
        <f t="shared" si="44"/>
        <v>#N/A</v>
      </c>
    </row>
    <row r="951" spans="6:8" x14ac:dyDescent="0.25">
      <c r="F951" s="2" t="e">
        <f t="shared" si="42"/>
        <v>#N/A</v>
      </c>
      <c r="G951" s="2" t="e">
        <f t="shared" si="43"/>
        <v>#N/A</v>
      </c>
      <c r="H951" s="2" t="e">
        <f t="shared" si="44"/>
        <v>#N/A</v>
      </c>
    </row>
    <row r="952" spans="6:8" x14ac:dyDescent="0.25">
      <c r="F952" s="2" t="e">
        <f t="shared" si="42"/>
        <v>#N/A</v>
      </c>
      <c r="G952" s="2" t="e">
        <f t="shared" si="43"/>
        <v>#N/A</v>
      </c>
      <c r="H952" s="2" t="e">
        <f t="shared" si="44"/>
        <v>#N/A</v>
      </c>
    </row>
    <row r="953" spans="6:8" x14ac:dyDescent="0.25">
      <c r="F953" s="2" t="e">
        <f t="shared" si="42"/>
        <v>#N/A</v>
      </c>
      <c r="G953" s="2" t="e">
        <f t="shared" si="43"/>
        <v>#N/A</v>
      </c>
      <c r="H953" s="2" t="e">
        <f t="shared" si="44"/>
        <v>#N/A</v>
      </c>
    </row>
    <row r="954" spans="6:8" x14ac:dyDescent="0.25">
      <c r="F954" s="2" t="e">
        <f t="shared" si="42"/>
        <v>#N/A</v>
      </c>
      <c r="G954" s="2" t="e">
        <f t="shared" si="43"/>
        <v>#N/A</v>
      </c>
      <c r="H954" s="2" t="e">
        <f t="shared" si="44"/>
        <v>#N/A</v>
      </c>
    </row>
    <row r="955" spans="6:8" x14ac:dyDescent="0.25">
      <c r="F955" s="2" t="e">
        <f t="shared" si="42"/>
        <v>#N/A</v>
      </c>
      <c r="G955" s="2" t="e">
        <f t="shared" si="43"/>
        <v>#N/A</v>
      </c>
      <c r="H955" s="2" t="e">
        <f t="shared" si="44"/>
        <v>#N/A</v>
      </c>
    </row>
    <row r="956" spans="6:8" x14ac:dyDescent="0.25">
      <c r="F956" s="2" t="e">
        <f t="shared" si="42"/>
        <v>#N/A</v>
      </c>
      <c r="G956" s="2" t="e">
        <f t="shared" si="43"/>
        <v>#N/A</v>
      </c>
      <c r="H956" s="2" t="e">
        <f t="shared" si="44"/>
        <v>#N/A</v>
      </c>
    </row>
    <row r="957" spans="6:8" x14ac:dyDescent="0.25">
      <c r="F957" s="2" t="e">
        <f t="shared" si="42"/>
        <v>#N/A</v>
      </c>
      <c r="G957" s="2" t="e">
        <f t="shared" si="43"/>
        <v>#N/A</v>
      </c>
      <c r="H957" s="2" t="e">
        <f t="shared" si="44"/>
        <v>#N/A</v>
      </c>
    </row>
    <row r="958" spans="6:8" x14ac:dyDescent="0.25">
      <c r="F958" s="2" t="e">
        <f t="shared" si="42"/>
        <v>#N/A</v>
      </c>
      <c r="G958" s="2" t="e">
        <f t="shared" si="43"/>
        <v>#N/A</v>
      </c>
      <c r="H958" s="2" t="e">
        <f t="shared" si="44"/>
        <v>#N/A</v>
      </c>
    </row>
    <row r="959" spans="6:8" x14ac:dyDescent="0.25">
      <c r="F959" s="2" t="e">
        <f t="shared" si="42"/>
        <v>#N/A</v>
      </c>
      <c r="G959" s="2" t="e">
        <f t="shared" si="43"/>
        <v>#N/A</v>
      </c>
      <c r="H959" s="2" t="e">
        <f t="shared" si="44"/>
        <v>#N/A</v>
      </c>
    </row>
    <row r="960" spans="6:8" x14ac:dyDescent="0.25">
      <c r="F960" s="2" t="e">
        <f t="shared" si="42"/>
        <v>#N/A</v>
      </c>
      <c r="G960" s="2" t="e">
        <f t="shared" si="43"/>
        <v>#N/A</v>
      </c>
      <c r="H960" s="2" t="e">
        <f t="shared" si="44"/>
        <v>#N/A</v>
      </c>
    </row>
    <row r="961" spans="6:8" x14ac:dyDescent="0.25">
      <c r="F961" s="2" t="e">
        <f t="shared" si="42"/>
        <v>#N/A</v>
      </c>
      <c r="G961" s="2" t="e">
        <f t="shared" si="43"/>
        <v>#N/A</v>
      </c>
      <c r="H961" s="2" t="e">
        <f t="shared" si="44"/>
        <v>#N/A</v>
      </c>
    </row>
    <row r="962" spans="6:8" x14ac:dyDescent="0.25">
      <c r="F962" s="2" t="e">
        <f t="shared" si="42"/>
        <v>#N/A</v>
      </c>
      <c r="G962" s="2" t="e">
        <f t="shared" si="43"/>
        <v>#N/A</v>
      </c>
      <c r="H962" s="2" t="e">
        <f t="shared" si="44"/>
        <v>#N/A</v>
      </c>
    </row>
    <row r="963" spans="6:8" x14ac:dyDescent="0.25">
      <c r="F963" s="2" t="e">
        <f t="shared" si="42"/>
        <v>#N/A</v>
      </c>
      <c r="G963" s="2" t="e">
        <f t="shared" si="43"/>
        <v>#N/A</v>
      </c>
      <c r="H963" s="2" t="e">
        <f t="shared" si="44"/>
        <v>#N/A</v>
      </c>
    </row>
    <row r="964" spans="6:8" x14ac:dyDescent="0.25">
      <c r="F964" s="2" t="e">
        <f t="shared" si="42"/>
        <v>#N/A</v>
      </c>
      <c r="G964" s="2" t="e">
        <f t="shared" si="43"/>
        <v>#N/A</v>
      </c>
      <c r="H964" s="2" t="e">
        <f t="shared" si="44"/>
        <v>#N/A</v>
      </c>
    </row>
    <row r="965" spans="6:8" x14ac:dyDescent="0.25">
      <c r="F965" s="2" t="e">
        <f t="shared" si="42"/>
        <v>#N/A</v>
      </c>
      <c r="G965" s="2" t="e">
        <f t="shared" si="43"/>
        <v>#N/A</v>
      </c>
      <c r="H965" s="2" t="e">
        <f t="shared" si="44"/>
        <v>#N/A</v>
      </c>
    </row>
    <row r="966" spans="6:8" x14ac:dyDescent="0.25">
      <c r="F966" s="2" t="e">
        <f t="shared" ref="F966:F1029" si="45">IF(F965&lt;2,F965+$D$6,NA())</f>
        <v>#N/A</v>
      </c>
      <c r="G966" s="2" t="e">
        <f t="shared" ref="G966:G1029" si="46">IF(ISNA(F966), NA(),(1+$D$3*$D$6)*G965+$D$6*$D$4)</f>
        <v>#N/A</v>
      </c>
      <c r="H966" s="2" t="e">
        <f t="shared" ref="H966:H1029" si="47">IF(ISNA(G966),NA(),$D$7*EXP($D$3*F966)-($D$4/$D$3))</f>
        <v>#N/A</v>
      </c>
    </row>
    <row r="967" spans="6:8" x14ac:dyDescent="0.25">
      <c r="F967" s="2" t="e">
        <f t="shared" si="45"/>
        <v>#N/A</v>
      </c>
      <c r="G967" s="2" t="e">
        <f t="shared" si="46"/>
        <v>#N/A</v>
      </c>
      <c r="H967" s="2" t="e">
        <f t="shared" si="47"/>
        <v>#N/A</v>
      </c>
    </row>
    <row r="968" spans="6:8" x14ac:dyDescent="0.25">
      <c r="F968" s="2" t="e">
        <f t="shared" si="45"/>
        <v>#N/A</v>
      </c>
      <c r="G968" s="2" t="e">
        <f t="shared" si="46"/>
        <v>#N/A</v>
      </c>
      <c r="H968" s="2" t="e">
        <f t="shared" si="47"/>
        <v>#N/A</v>
      </c>
    </row>
    <row r="969" spans="6:8" x14ac:dyDescent="0.25">
      <c r="F969" s="2" t="e">
        <f t="shared" si="45"/>
        <v>#N/A</v>
      </c>
      <c r="G969" s="2" t="e">
        <f t="shared" si="46"/>
        <v>#N/A</v>
      </c>
      <c r="H969" s="2" t="e">
        <f t="shared" si="47"/>
        <v>#N/A</v>
      </c>
    </row>
    <row r="970" spans="6:8" x14ac:dyDescent="0.25">
      <c r="F970" s="2" t="e">
        <f t="shared" si="45"/>
        <v>#N/A</v>
      </c>
      <c r="G970" s="2" t="e">
        <f t="shared" si="46"/>
        <v>#N/A</v>
      </c>
      <c r="H970" s="2" t="e">
        <f t="shared" si="47"/>
        <v>#N/A</v>
      </c>
    </row>
    <row r="971" spans="6:8" x14ac:dyDescent="0.25">
      <c r="F971" s="2" t="e">
        <f t="shared" si="45"/>
        <v>#N/A</v>
      </c>
      <c r="G971" s="2" t="e">
        <f t="shared" si="46"/>
        <v>#N/A</v>
      </c>
      <c r="H971" s="2" t="e">
        <f t="shared" si="47"/>
        <v>#N/A</v>
      </c>
    </row>
    <row r="972" spans="6:8" x14ac:dyDescent="0.25">
      <c r="F972" s="2" t="e">
        <f t="shared" si="45"/>
        <v>#N/A</v>
      </c>
      <c r="G972" s="2" t="e">
        <f t="shared" si="46"/>
        <v>#N/A</v>
      </c>
      <c r="H972" s="2" t="e">
        <f t="shared" si="47"/>
        <v>#N/A</v>
      </c>
    </row>
    <row r="973" spans="6:8" x14ac:dyDescent="0.25">
      <c r="F973" s="2" t="e">
        <f t="shared" si="45"/>
        <v>#N/A</v>
      </c>
      <c r="G973" s="2" t="e">
        <f t="shared" si="46"/>
        <v>#N/A</v>
      </c>
      <c r="H973" s="2" t="e">
        <f t="shared" si="47"/>
        <v>#N/A</v>
      </c>
    </row>
    <row r="974" spans="6:8" x14ac:dyDescent="0.25">
      <c r="F974" s="2" t="e">
        <f t="shared" si="45"/>
        <v>#N/A</v>
      </c>
      <c r="G974" s="2" t="e">
        <f t="shared" si="46"/>
        <v>#N/A</v>
      </c>
      <c r="H974" s="2" t="e">
        <f t="shared" si="47"/>
        <v>#N/A</v>
      </c>
    </row>
    <row r="975" spans="6:8" x14ac:dyDescent="0.25">
      <c r="F975" s="2" t="e">
        <f t="shared" si="45"/>
        <v>#N/A</v>
      </c>
      <c r="G975" s="2" t="e">
        <f t="shared" si="46"/>
        <v>#N/A</v>
      </c>
      <c r="H975" s="2" t="e">
        <f t="shared" si="47"/>
        <v>#N/A</v>
      </c>
    </row>
    <row r="976" spans="6:8" x14ac:dyDescent="0.25">
      <c r="F976" s="2" t="e">
        <f t="shared" si="45"/>
        <v>#N/A</v>
      </c>
      <c r="G976" s="2" t="e">
        <f t="shared" si="46"/>
        <v>#N/A</v>
      </c>
      <c r="H976" s="2" t="e">
        <f t="shared" si="47"/>
        <v>#N/A</v>
      </c>
    </row>
    <row r="977" spans="6:8" x14ac:dyDescent="0.25">
      <c r="F977" s="2" t="e">
        <f t="shared" si="45"/>
        <v>#N/A</v>
      </c>
      <c r="G977" s="2" t="e">
        <f t="shared" si="46"/>
        <v>#N/A</v>
      </c>
      <c r="H977" s="2" t="e">
        <f t="shared" si="47"/>
        <v>#N/A</v>
      </c>
    </row>
    <row r="978" spans="6:8" x14ac:dyDescent="0.25">
      <c r="F978" s="2" t="e">
        <f t="shared" si="45"/>
        <v>#N/A</v>
      </c>
      <c r="G978" s="2" t="e">
        <f t="shared" si="46"/>
        <v>#N/A</v>
      </c>
      <c r="H978" s="2" t="e">
        <f t="shared" si="47"/>
        <v>#N/A</v>
      </c>
    </row>
    <row r="979" spans="6:8" x14ac:dyDescent="0.25">
      <c r="F979" s="2" t="e">
        <f t="shared" si="45"/>
        <v>#N/A</v>
      </c>
      <c r="G979" s="2" t="e">
        <f t="shared" si="46"/>
        <v>#N/A</v>
      </c>
      <c r="H979" s="2" t="e">
        <f t="shared" si="47"/>
        <v>#N/A</v>
      </c>
    </row>
    <row r="980" spans="6:8" x14ac:dyDescent="0.25">
      <c r="F980" s="2" t="e">
        <f t="shared" si="45"/>
        <v>#N/A</v>
      </c>
      <c r="G980" s="2" t="e">
        <f t="shared" si="46"/>
        <v>#N/A</v>
      </c>
      <c r="H980" s="2" t="e">
        <f t="shared" si="47"/>
        <v>#N/A</v>
      </c>
    </row>
    <row r="981" spans="6:8" x14ac:dyDescent="0.25">
      <c r="F981" s="2" t="e">
        <f t="shared" si="45"/>
        <v>#N/A</v>
      </c>
      <c r="G981" s="2" t="e">
        <f t="shared" si="46"/>
        <v>#N/A</v>
      </c>
      <c r="H981" s="2" t="e">
        <f t="shared" si="47"/>
        <v>#N/A</v>
      </c>
    </row>
    <row r="982" spans="6:8" x14ac:dyDescent="0.25">
      <c r="F982" s="2" t="e">
        <f t="shared" si="45"/>
        <v>#N/A</v>
      </c>
      <c r="G982" s="2" t="e">
        <f t="shared" si="46"/>
        <v>#N/A</v>
      </c>
      <c r="H982" s="2" t="e">
        <f t="shared" si="47"/>
        <v>#N/A</v>
      </c>
    </row>
    <row r="983" spans="6:8" x14ac:dyDescent="0.25">
      <c r="F983" s="2" t="e">
        <f t="shared" si="45"/>
        <v>#N/A</v>
      </c>
      <c r="G983" s="2" t="e">
        <f t="shared" si="46"/>
        <v>#N/A</v>
      </c>
      <c r="H983" s="2" t="e">
        <f t="shared" si="47"/>
        <v>#N/A</v>
      </c>
    </row>
    <row r="984" spans="6:8" x14ac:dyDescent="0.25">
      <c r="F984" s="2" t="e">
        <f t="shared" si="45"/>
        <v>#N/A</v>
      </c>
      <c r="G984" s="2" t="e">
        <f t="shared" si="46"/>
        <v>#N/A</v>
      </c>
      <c r="H984" s="2" t="e">
        <f t="shared" si="47"/>
        <v>#N/A</v>
      </c>
    </row>
    <row r="985" spans="6:8" x14ac:dyDescent="0.25">
      <c r="F985" s="2" t="e">
        <f t="shared" si="45"/>
        <v>#N/A</v>
      </c>
      <c r="G985" s="2" t="e">
        <f t="shared" si="46"/>
        <v>#N/A</v>
      </c>
      <c r="H985" s="2" t="e">
        <f t="shared" si="47"/>
        <v>#N/A</v>
      </c>
    </row>
    <row r="986" spans="6:8" x14ac:dyDescent="0.25">
      <c r="F986" s="2" t="e">
        <f t="shared" si="45"/>
        <v>#N/A</v>
      </c>
      <c r="G986" s="2" t="e">
        <f t="shared" si="46"/>
        <v>#N/A</v>
      </c>
      <c r="H986" s="2" t="e">
        <f t="shared" si="47"/>
        <v>#N/A</v>
      </c>
    </row>
    <row r="987" spans="6:8" x14ac:dyDescent="0.25">
      <c r="F987" s="2" t="e">
        <f t="shared" si="45"/>
        <v>#N/A</v>
      </c>
      <c r="G987" s="2" t="e">
        <f t="shared" si="46"/>
        <v>#N/A</v>
      </c>
      <c r="H987" s="2" t="e">
        <f t="shared" si="47"/>
        <v>#N/A</v>
      </c>
    </row>
    <row r="988" spans="6:8" x14ac:dyDescent="0.25">
      <c r="F988" s="2" t="e">
        <f t="shared" si="45"/>
        <v>#N/A</v>
      </c>
      <c r="G988" s="2" t="e">
        <f t="shared" si="46"/>
        <v>#N/A</v>
      </c>
      <c r="H988" s="2" t="e">
        <f t="shared" si="47"/>
        <v>#N/A</v>
      </c>
    </row>
    <row r="989" spans="6:8" x14ac:dyDescent="0.25">
      <c r="F989" s="2" t="e">
        <f t="shared" si="45"/>
        <v>#N/A</v>
      </c>
      <c r="G989" s="2" t="e">
        <f t="shared" si="46"/>
        <v>#N/A</v>
      </c>
      <c r="H989" s="2" t="e">
        <f t="shared" si="47"/>
        <v>#N/A</v>
      </c>
    </row>
    <row r="990" spans="6:8" x14ac:dyDescent="0.25">
      <c r="F990" s="2" t="e">
        <f t="shared" si="45"/>
        <v>#N/A</v>
      </c>
      <c r="G990" s="2" t="e">
        <f t="shared" si="46"/>
        <v>#N/A</v>
      </c>
      <c r="H990" s="2" t="e">
        <f t="shared" si="47"/>
        <v>#N/A</v>
      </c>
    </row>
    <row r="991" spans="6:8" x14ac:dyDescent="0.25">
      <c r="F991" s="2" t="e">
        <f t="shared" si="45"/>
        <v>#N/A</v>
      </c>
      <c r="G991" s="2" t="e">
        <f t="shared" si="46"/>
        <v>#N/A</v>
      </c>
      <c r="H991" s="2" t="e">
        <f t="shared" si="47"/>
        <v>#N/A</v>
      </c>
    </row>
    <row r="992" spans="6:8" x14ac:dyDescent="0.25">
      <c r="F992" s="2" t="e">
        <f t="shared" si="45"/>
        <v>#N/A</v>
      </c>
      <c r="G992" s="2" t="e">
        <f t="shared" si="46"/>
        <v>#N/A</v>
      </c>
      <c r="H992" s="2" t="e">
        <f t="shared" si="47"/>
        <v>#N/A</v>
      </c>
    </row>
    <row r="993" spans="6:8" x14ac:dyDescent="0.25">
      <c r="F993" s="2" t="e">
        <f t="shared" si="45"/>
        <v>#N/A</v>
      </c>
      <c r="G993" s="2" t="e">
        <f t="shared" si="46"/>
        <v>#N/A</v>
      </c>
      <c r="H993" s="2" t="e">
        <f t="shared" si="47"/>
        <v>#N/A</v>
      </c>
    </row>
    <row r="994" spans="6:8" x14ac:dyDescent="0.25">
      <c r="F994" s="2" t="e">
        <f t="shared" si="45"/>
        <v>#N/A</v>
      </c>
      <c r="G994" s="2" t="e">
        <f t="shared" si="46"/>
        <v>#N/A</v>
      </c>
      <c r="H994" s="2" t="e">
        <f t="shared" si="47"/>
        <v>#N/A</v>
      </c>
    </row>
    <row r="995" spans="6:8" x14ac:dyDescent="0.25">
      <c r="F995" s="2" t="e">
        <f t="shared" si="45"/>
        <v>#N/A</v>
      </c>
      <c r="G995" s="2" t="e">
        <f t="shared" si="46"/>
        <v>#N/A</v>
      </c>
      <c r="H995" s="2" t="e">
        <f t="shared" si="47"/>
        <v>#N/A</v>
      </c>
    </row>
    <row r="996" spans="6:8" x14ac:dyDescent="0.25">
      <c r="F996" s="2" t="e">
        <f t="shared" si="45"/>
        <v>#N/A</v>
      </c>
      <c r="G996" s="2" t="e">
        <f t="shared" si="46"/>
        <v>#N/A</v>
      </c>
      <c r="H996" s="2" t="e">
        <f t="shared" si="47"/>
        <v>#N/A</v>
      </c>
    </row>
    <row r="997" spans="6:8" x14ac:dyDescent="0.25">
      <c r="F997" s="2" t="e">
        <f t="shared" si="45"/>
        <v>#N/A</v>
      </c>
      <c r="G997" s="2" t="e">
        <f t="shared" si="46"/>
        <v>#N/A</v>
      </c>
      <c r="H997" s="2" t="e">
        <f t="shared" si="47"/>
        <v>#N/A</v>
      </c>
    </row>
    <row r="998" spans="6:8" x14ac:dyDescent="0.25">
      <c r="F998" s="2" t="e">
        <f t="shared" si="45"/>
        <v>#N/A</v>
      </c>
      <c r="G998" s="2" t="e">
        <f t="shared" si="46"/>
        <v>#N/A</v>
      </c>
      <c r="H998" s="2" t="e">
        <f t="shared" si="47"/>
        <v>#N/A</v>
      </c>
    </row>
    <row r="999" spans="6:8" x14ac:dyDescent="0.25">
      <c r="F999" s="2" t="e">
        <f t="shared" si="45"/>
        <v>#N/A</v>
      </c>
      <c r="G999" s="2" t="e">
        <f t="shared" si="46"/>
        <v>#N/A</v>
      </c>
      <c r="H999" s="2" t="e">
        <f t="shared" si="47"/>
        <v>#N/A</v>
      </c>
    </row>
    <row r="1000" spans="6:8" x14ac:dyDescent="0.25">
      <c r="F1000" s="2" t="e">
        <f t="shared" si="45"/>
        <v>#N/A</v>
      </c>
      <c r="G1000" s="2" t="e">
        <f t="shared" si="46"/>
        <v>#N/A</v>
      </c>
      <c r="H1000" s="2" t="e">
        <f t="shared" si="47"/>
        <v>#N/A</v>
      </c>
    </row>
    <row r="1001" spans="6:8" x14ac:dyDescent="0.25">
      <c r="F1001" s="2" t="e">
        <f t="shared" si="45"/>
        <v>#N/A</v>
      </c>
      <c r="G1001" s="2" t="e">
        <f t="shared" si="46"/>
        <v>#N/A</v>
      </c>
      <c r="H1001" s="2" t="e">
        <f t="shared" si="47"/>
        <v>#N/A</v>
      </c>
    </row>
    <row r="1002" spans="6:8" x14ac:dyDescent="0.25">
      <c r="F1002" s="2" t="e">
        <f t="shared" si="45"/>
        <v>#N/A</v>
      </c>
      <c r="G1002" s="2" t="e">
        <f t="shared" si="46"/>
        <v>#N/A</v>
      </c>
      <c r="H1002" s="2" t="e">
        <f t="shared" si="47"/>
        <v>#N/A</v>
      </c>
    </row>
    <row r="1003" spans="6:8" x14ac:dyDescent="0.25">
      <c r="F1003" s="2" t="e">
        <f t="shared" si="45"/>
        <v>#N/A</v>
      </c>
      <c r="G1003" s="2" t="e">
        <f t="shared" si="46"/>
        <v>#N/A</v>
      </c>
      <c r="H1003" s="2" t="e">
        <f t="shared" si="47"/>
        <v>#N/A</v>
      </c>
    </row>
    <row r="1004" spans="6:8" x14ac:dyDescent="0.25">
      <c r="F1004" s="2" t="e">
        <f t="shared" si="45"/>
        <v>#N/A</v>
      </c>
      <c r="G1004" s="2" t="e">
        <f t="shared" si="46"/>
        <v>#N/A</v>
      </c>
      <c r="H1004" s="2" t="e">
        <f t="shared" si="47"/>
        <v>#N/A</v>
      </c>
    </row>
    <row r="1005" spans="6:8" x14ac:dyDescent="0.25">
      <c r="F1005" s="2" t="e">
        <f t="shared" si="45"/>
        <v>#N/A</v>
      </c>
      <c r="G1005" s="2" t="e">
        <f t="shared" si="46"/>
        <v>#N/A</v>
      </c>
      <c r="H1005" s="2" t="e">
        <f t="shared" si="47"/>
        <v>#N/A</v>
      </c>
    </row>
    <row r="1006" spans="6:8" x14ac:dyDescent="0.25">
      <c r="F1006" s="2" t="e">
        <f t="shared" si="45"/>
        <v>#N/A</v>
      </c>
      <c r="G1006" s="2" t="e">
        <f t="shared" si="46"/>
        <v>#N/A</v>
      </c>
      <c r="H1006" s="2" t="e">
        <f t="shared" si="47"/>
        <v>#N/A</v>
      </c>
    </row>
    <row r="1007" spans="6:8" x14ac:dyDescent="0.25">
      <c r="F1007" s="2" t="e">
        <f t="shared" si="45"/>
        <v>#N/A</v>
      </c>
      <c r="G1007" s="2" t="e">
        <f t="shared" si="46"/>
        <v>#N/A</v>
      </c>
      <c r="H1007" s="2" t="e">
        <f t="shared" si="47"/>
        <v>#N/A</v>
      </c>
    </row>
    <row r="1008" spans="6:8" x14ac:dyDescent="0.25">
      <c r="F1008" s="2" t="e">
        <f t="shared" si="45"/>
        <v>#N/A</v>
      </c>
      <c r="G1008" s="2" t="e">
        <f t="shared" si="46"/>
        <v>#N/A</v>
      </c>
      <c r="H1008" s="2" t="e">
        <f t="shared" si="47"/>
        <v>#N/A</v>
      </c>
    </row>
    <row r="1009" spans="6:8" x14ac:dyDescent="0.25">
      <c r="F1009" s="2" t="e">
        <f t="shared" si="45"/>
        <v>#N/A</v>
      </c>
      <c r="G1009" s="2" t="e">
        <f t="shared" si="46"/>
        <v>#N/A</v>
      </c>
      <c r="H1009" s="2" t="e">
        <f t="shared" si="47"/>
        <v>#N/A</v>
      </c>
    </row>
    <row r="1010" spans="6:8" x14ac:dyDescent="0.25">
      <c r="F1010" s="2" t="e">
        <f t="shared" si="45"/>
        <v>#N/A</v>
      </c>
      <c r="G1010" s="2" t="e">
        <f t="shared" si="46"/>
        <v>#N/A</v>
      </c>
      <c r="H1010" s="2" t="e">
        <f t="shared" si="47"/>
        <v>#N/A</v>
      </c>
    </row>
    <row r="1011" spans="6:8" x14ac:dyDescent="0.25">
      <c r="F1011" s="2" t="e">
        <f t="shared" si="45"/>
        <v>#N/A</v>
      </c>
      <c r="G1011" s="2" t="e">
        <f t="shared" si="46"/>
        <v>#N/A</v>
      </c>
      <c r="H1011" s="2" t="e">
        <f t="shared" si="47"/>
        <v>#N/A</v>
      </c>
    </row>
    <row r="1012" spans="6:8" x14ac:dyDescent="0.25">
      <c r="F1012" s="2" t="e">
        <f t="shared" si="45"/>
        <v>#N/A</v>
      </c>
      <c r="G1012" s="2" t="e">
        <f t="shared" si="46"/>
        <v>#N/A</v>
      </c>
      <c r="H1012" s="2" t="e">
        <f t="shared" si="47"/>
        <v>#N/A</v>
      </c>
    </row>
    <row r="1013" spans="6:8" x14ac:dyDescent="0.25">
      <c r="F1013" s="2" t="e">
        <f t="shared" si="45"/>
        <v>#N/A</v>
      </c>
      <c r="G1013" s="2" t="e">
        <f t="shared" si="46"/>
        <v>#N/A</v>
      </c>
      <c r="H1013" s="2" t="e">
        <f t="shared" si="47"/>
        <v>#N/A</v>
      </c>
    </row>
    <row r="1014" spans="6:8" x14ac:dyDescent="0.25">
      <c r="F1014" s="2" t="e">
        <f t="shared" si="45"/>
        <v>#N/A</v>
      </c>
      <c r="G1014" s="2" t="e">
        <f t="shared" si="46"/>
        <v>#N/A</v>
      </c>
      <c r="H1014" s="2" t="e">
        <f t="shared" si="47"/>
        <v>#N/A</v>
      </c>
    </row>
    <row r="1015" spans="6:8" x14ac:dyDescent="0.25">
      <c r="F1015" s="2" t="e">
        <f t="shared" si="45"/>
        <v>#N/A</v>
      </c>
      <c r="G1015" s="2" t="e">
        <f t="shared" si="46"/>
        <v>#N/A</v>
      </c>
      <c r="H1015" s="2" t="e">
        <f t="shared" si="47"/>
        <v>#N/A</v>
      </c>
    </row>
    <row r="1016" spans="6:8" x14ac:dyDescent="0.25">
      <c r="F1016" s="2" t="e">
        <f t="shared" si="45"/>
        <v>#N/A</v>
      </c>
      <c r="G1016" s="2" t="e">
        <f t="shared" si="46"/>
        <v>#N/A</v>
      </c>
      <c r="H1016" s="2" t="e">
        <f t="shared" si="47"/>
        <v>#N/A</v>
      </c>
    </row>
    <row r="1017" spans="6:8" x14ac:dyDescent="0.25">
      <c r="F1017" s="2" t="e">
        <f t="shared" si="45"/>
        <v>#N/A</v>
      </c>
      <c r="G1017" s="2" t="e">
        <f t="shared" si="46"/>
        <v>#N/A</v>
      </c>
      <c r="H1017" s="2" t="e">
        <f t="shared" si="47"/>
        <v>#N/A</v>
      </c>
    </row>
    <row r="1018" spans="6:8" x14ac:dyDescent="0.25">
      <c r="F1018" s="2" t="e">
        <f t="shared" si="45"/>
        <v>#N/A</v>
      </c>
      <c r="G1018" s="2" t="e">
        <f t="shared" si="46"/>
        <v>#N/A</v>
      </c>
      <c r="H1018" s="2" t="e">
        <f t="shared" si="47"/>
        <v>#N/A</v>
      </c>
    </row>
    <row r="1019" spans="6:8" x14ac:dyDescent="0.25">
      <c r="F1019" s="2" t="e">
        <f t="shared" si="45"/>
        <v>#N/A</v>
      </c>
      <c r="G1019" s="2" t="e">
        <f t="shared" si="46"/>
        <v>#N/A</v>
      </c>
      <c r="H1019" s="2" t="e">
        <f t="shared" si="47"/>
        <v>#N/A</v>
      </c>
    </row>
    <row r="1020" spans="6:8" x14ac:dyDescent="0.25">
      <c r="F1020" s="2" t="e">
        <f t="shared" si="45"/>
        <v>#N/A</v>
      </c>
      <c r="G1020" s="2" t="e">
        <f t="shared" si="46"/>
        <v>#N/A</v>
      </c>
      <c r="H1020" s="2" t="e">
        <f t="shared" si="47"/>
        <v>#N/A</v>
      </c>
    </row>
    <row r="1021" spans="6:8" x14ac:dyDescent="0.25">
      <c r="F1021" s="2" t="e">
        <f t="shared" si="45"/>
        <v>#N/A</v>
      </c>
      <c r="G1021" s="2" t="e">
        <f t="shared" si="46"/>
        <v>#N/A</v>
      </c>
      <c r="H1021" s="2" t="e">
        <f t="shared" si="47"/>
        <v>#N/A</v>
      </c>
    </row>
    <row r="1022" spans="6:8" x14ac:dyDescent="0.25">
      <c r="F1022" s="2" t="e">
        <f t="shared" si="45"/>
        <v>#N/A</v>
      </c>
      <c r="G1022" s="2" t="e">
        <f t="shared" si="46"/>
        <v>#N/A</v>
      </c>
      <c r="H1022" s="2" t="e">
        <f t="shared" si="47"/>
        <v>#N/A</v>
      </c>
    </row>
    <row r="1023" spans="6:8" x14ac:dyDescent="0.25">
      <c r="F1023" s="2" t="e">
        <f t="shared" si="45"/>
        <v>#N/A</v>
      </c>
      <c r="G1023" s="2" t="e">
        <f t="shared" si="46"/>
        <v>#N/A</v>
      </c>
      <c r="H1023" s="2" t="e">
        <f t="shared" si="47"/>
        <v>#N/A</v>
      </c>
    </row>
    <row r="1024" spans="6:8" x14ac:dyDescent="0.25">
      <c r="F1024" s="2" t="e">
        <f t="shared" si="45"/>
        <v>#N/A</v>
      </c>
      <c r="G1024" s="2" t="e">
        <f t="shared" si="46"/>
        <v>#N/A</v>
      </c>
      <c r="H1024" s="2" t="e">
        <f t="shared" si="47"/>
        <v>#N/A</v>
      </c>
    </row>
    <row r="1025" spans="6:8" x14ac:dyDescent="0.25">
      <c r="F1025" s="2" t="e">
        <f t="shared" si="45"/>
        <v>#N/A</v>
      </c>
      <c r="G1025" s="2" t="e">
        <f t="shared" si="46"/>
        <v>#N/A</v>
      </c>
      <c r="H1025" s="2" t="e">
        <f t="shared" si="47"/>
        <v>#N/A</v>
      </c>
    </row>
    <row r="1026" spans="6:8" x14ac:dyDescent="0.25">
      <c r="F1026" s="2" t="e">
        <f t="shared" si="45"/>
        <v>#N/A</v>
      </c>
      <c r="G1026" s="2" t="e">
        <f t="shared" si="46"/>
        <v>#N/A</v>
      </c>
      <c r="H1026" s="2" t="e">
        <f t="shared" si="47"/>
        <v>#N/A</v>
      </c>
    </row>
    <row r="1027" spans="6:8" x14ac:dyDescent="0.25">
      <c r="F1027" s="2" t="e">
        <f t="shared" si="45"/>
        <v>#N/A</v>
      </c>
      <c r="G1027" s="2" t="e">
        <f t="shared" si="46"/>
        <v>#N/A</v>
      </c>
      <c r="H1027" s="2" t="e">
        <f t="shared" si="47"/>
        <v>#N/A</v>
      </c>
    </row>
    <row r="1028" spans="6:8" x14ac:dyDescent="0.25">
      <c r="F1028" s="2" t="e">
        <f t="shared" si="45"/>
        <v>#N/A</v>
      </c>
      <c r="G1028" s="2" t="e">
        <f t="shared" si="46"/>
        <v>#N/A</v>
      </c>
      <c r="H1028" s="2" t="e">
        <f t="shared" si="47"/>
        <v>#N/A</v>
      </c>
    </row>
    <row r="1029" spans="6:8" x14ac:dyDescent="0.25">
      <c r="F1029" s="2" t="e">
        <f t="shared" si="45"/>
        <v>#N/A</v>
      </c>
      <c r="G1029" s="2" t="e">
        <f t="shared" si="46"/>
        <v>#N/A</v>
      </c>
      <c r="H1029" s="2" t="e">
        <f t="shared" si="47"/>
        <v>#N/A</v>
      </c>
    </row>
    <row r="1030" spans="6:8" x14ac:dyDescent="0.25">
      <c r="F1030" s="2" t="e">
        <f t="shared" ref="F1030:F1093" si="48">IF(F1029&lt;2,F1029+$D$6,NA())</f>
        <v>#N/A</v>
      </c>
      <c r="G1030" s="2" t="e">
        <f t="shared" ref="G1030:G1093" si="49">IF(ISNA(F1030), NA(),(1+$D$3*$D$6)*G1029+$D$6*$D$4)</f>
        <v>#N/A</v>
      </c>
      <c r="H1030" s="2" t="e">
        <f t="shared" ref="H1030:H1093" si="50">IF(ISNA(G1030),NA(),$D$7*EXP($D$3*F1030)-($D$4/$D$3))</f>
        <v>#N/A</v>
      </c>
    </row>
    <row r="1031" spans="6:8" x14ac:dyDescent="0.25">
      <c r="F1031" s="2" t="e">
        <f t="shared" si="48"/>
        <v>#N/A</v>
      </c>
      <c r="G1031" s="2" t="e">
        <f t="shared" si="49"/>
        <v>#N/A</v>
      </c>
      <c r="H1031" s="2" t="e">
        <f t="shared" si="50"/>
        <v>#N/A</v>
      </c>
    </row>
    <row r="1032" spans="6:8" x14ac:dyDescent="0.25">
      <c r="F1032" s="2" t="e">
        <f t="shared" si="48"/>
        <v>#N/A</v>
      </c>
      <c r="G1032" s="2" t="e">
        <f t="shared" si="49"/>
        <v>#N/A</v>
      </c>
      <c r="H1032" s="2" t="e">
        <f t="shared" si="50"/>
        <v>#N/A</v>
      </c>
    </row>
    <row r="1033" spans="6:8" x14ac:dyDescent="0.25">
      <c r="F1033" s="2" t="e">
        <f t="shared" si="48"/>
        <v>#N/A</v>
      </c>
      <c r="G1033" s="2" t="e">
        <f t="shared" si="49"/>
        <v>#N/A</v>
      </c>
      <c r="H1033" s="2" t="e">
        <f t="shared" si="50"/>
        <v>#N/A</v>
      </c>
    </row>
    <row r="1034" spans="6:8" x14ac:dyDescent="0.25">
      <c r="F1034" s="2" t="e">
        <f t="shared" si="48"/>
        <v>#N/A</v>
      </c>
      <c r="G1034" s="2" t="e">
        <f t="shared" si="49"/>
        <v>#N/A</v>
      </c>
      <c r="H1034" s="2" t="e">
        <f t="shared" si="50"/>
        <v>#N/A</v>
      </c>
    </row>
    <row r="1035" spans="6:8" x14ac:dyDescent="0.25">
      <c r="F1035" s="2" t="e">
        <f t="shared" si="48"/>
        <v>#N/A</v>
      </c>
      <c r="G1035" s="2" t="e">
        <f t="shared" si="49"/>
        <v>#N/A</v>
      </c>
      <c r="H1035" s="2" t="e">
        <f t="shared" si="50"/>
        <v>#N/A</v>
      </c>
    </row>
    <row r="1036" spans="6:8" x14ac:dyDescent="0.25">
      <c r="F1036" s="2" t="e">
        <f t="shared" si="48"/>
        <v>#N/A</v>
      </c>
      <c r="G1036" s="2" t="e">
        <f t="shared" si="49"/>
        <v>#N/A</v>
      </c>
      <c r="H1036" s="2" t="e">
        <f t="shared" si="50"/>
        <v>#N/A</v>
      </c>
    </row>
    <row r="1037" spans="6:8" x14ac:dyDescent="0.25">
      <c r="F1037" s="2" t="e">
        <f t="shared" si="48"/>
        <v>#N/A</v>
      </c>
      <c r="G1037" s="2" t="e">
        <f t="shared" si="49"/>
        <v>#N/A</v>
      </c>
      <c r="H1037" s="2" t="e">
        <f t="shared" si="50"/>
        <v>#N/A</v>
      </c>
    </row>
    <row r="1038" spans="6:8" x14ac:dyDescent="0.25">
      <c r="F1038" s="2" t="e">
        <f t="shared" si="48"/>
        <v>#N/A</v>
      </c>
      <c r="G1038" s="2" t="e">
        <f t="shared" si="49"/>
        <v>#N/A</v>
      </c>
      <c r="H1038" s="2" t="e">
        <f t="shared" si="50"/>
        <v>#N/A</v>
      </c>
    </row>
    <row r="1039" spans="6:8" x14ac:dyDescent="0.25">
      <c r="F1039" s="2" t="e">
        <f t="shared" si="48"/>
        <v>#N/A</v>
      </c>
      <c r="G1039" s="2" t="e">
        <f t="shared" si="49"/>
        <v>#N/A</v>
      </c>
      <c r="H1039" s="2" t="e">
        <f t="shared" si="50"/>
        <v>#N/A</v>
      </c>
    </row>
    <row r="1040" spans="6:8" x14ac:dyDescent="0.25">
      <c r="F1040" s="2" t="e">
        <f t="shared" si="48"/>
        <v>#N/A</v>
      </c>
      <c r="G1040" s="2" t="e">
        <f t="shared" si="49"/>
        <v>#N/A</v>
      </c>
      <c r="H1040" s="2" t="e">
        <f t="shared" si="50"/>
        <v>#N/A</v>
      </c>
    </row>
    <row r="1041" spans="6:8" x14ac:dyDescent="0.25">
      <c r="F1041" s="2" t="e">
        <f t="shared" si="48"/>
        <v>#N/A</v>
      </c>
      <c r="G1041" s="2" t="e">
        <f t="shared" si="49"/>
        <v>#N/A</v>
      </c>
      <c r="H1041" s="2" t="e">
        <f t="shared" si="50"/>
        <v>#N/A</v>
      </c>
    </row>
    <row r="1042" spans="6:8" x14ac:dyDescent="0.25">
      <c r="F1042" s="2" t="e">
        <f t="shared" si="48"/>
        <v>#N/A</v>
      </c>
      <c r="G1042" s="2" t="e">
        <f t="shared" si="49"/>
        <v>#N/A</v>
      </c>
      <c r="H1042" s="2" t="e">
        <f t="shared" si="50"/>
        <v>#N/A</v>
      </c>
    </row>
    <row r="1043" spans="6:8" x14ac:dyDescent="0.25">
      <c r="F1043" s="2" t="e">
        <f t="shared" si="48"/>
        <v>#N/A</v>
      </c>
      <c r="G1043" s="2" t="e">
        <f t="shared" si="49"/>
        <v>#N/A</v>
      </c>
      <c r="H1043" s="2" t="e">
        <f t="shared" si="50"/>
        <v>#N/A</v>
      </c>
    </row>
    <row r="1044" spans="6:8" x14ac:dyDescent="0.25">
      <c r="F1044" s="2" t="e">
        <f t="shared" si="48"/>
        <v>#N/A</v>
      </c>
      <c r="G1044" s="2" t="e">
        <f t="shared" si="49"/>
        <v>#N/A</v>
      </c>
      <c r="H1044" s="2" t="e">
        <f t="shared" si="50"/>
        <v>#N/A</v>
      </c>
    </row>
    <row r="1045" spans="6:8" x14ac:dyDescent="0.25">
      <c r="F1045" s="2" t="e">
        <f t="shared" si="48"/>
        <v>#N/A</v>
      </c>
      <c r="G1045" s="2" t="e">
        <f t="shared" si="49"/>
        <v>#N/A</v>
      </c>
      <c r="H1045" s="2" t="e">
        <f t="shared" si="50"/>
        <v>#N/A</v>
      </c>
    </row>
    <row r="1046" spans="6:8" x14ac:dyDescent="0.25">
      <c r="F1046" s="2" t="e">
        <f t="shared" si="48"/>
        <v>#N/A</v>
      </c>
      <c r="G1046" s="2" t="e">
        <f t="shared" si="49"/>
        <v>#N/A</v>
      </c>
      <c r="H1046" s="2" t="e">
        <f t="shared" si="50"/>
        <v>#N/A</v>
      </c>
    </row>
    <row r="1047" spans="6:8" x14ac:dyDescent="0.25">
      <c r="F1047" s="2" t="e">
        <f t="shared" si="48"/>
        <v>#N/A</v>
      </c>
      <c r="G1047" s="2" t="e">
        <f t="shared" si="49"/>
        <v>#N/A</v>
      </c>
      <c r="H1047" s="2" t="e">
        <f t="shared" si="50"/>
        <v>#N/A</v>
      </c>
    </row>
    <row r="1048" spans="6:8" x14ac:dyDescent="0.25">
      <c r="F1048" s="2" t="e">
        <f t="shared" si="48"/>
        <v>#N/A</v>
      </c>
      <c r="G1048" s="2" t="e">
        <f t="shared" si="49"/>
        <v>#N/A</v>
      </c>
      <c r="H1048" s="2" t="e">
        <f t="shared" si="50"/>
        <v>#N/A</v>
      </c>
    </row>
    <row r="1049" spans="6:8" x14ac:dyDescent="0.25">
      <c r="F1049" s="2" t="e">
        <f t="shared" si="48"/>
        <v>#N/A</v>
      </c>
      <c r="G1049" s="2" t="e">
        <f t="shared" si="49"/>
        <v>#N/A</v>
      </c>
      <c r="H1049" s="2" t="e">
        <f t="shared" si="50"/>
        <v>#N/A</v>
      </c>
    </row>
    <row r="1050" spans="6:8" x14ac:dyDescent="0.25">
      <c r="F1050" s="2" t="e">
        <f t="shared" si="48"/>
        <v>#N/A</v>
      </c>
      <c r="G1050" s="2" t="e">
        <f t="shared" si="49"/>
        <v>#N/A</v>
      </c>
      <c r="H1050" s="2" t="e">
        <f t="shared" si="50"/>
        <v>#N/A</v>
      </c>
    </row>
    <row r="1051" spans="6:8" x14ac:dyDescent="0.25">
      <c r="F1051" s="2" t="e">
        <f t="shared" si="48"/>
        <v>#N/A</v>
      </c>
      <c r="G1051" s="2" t="e">
        <f t="shared" si="49"/>
        <v>#N/A</v>
      </c>
      <c r="H1051" s="2" t="e">
        <f t="shared" si="50"/>
        <v>#N/A</v>
      </c>
    </row>
    <row r="1052" spans="6:8" x14ac:dyDescent="0.25">
      <c r="F1052" s="2" t="e">
        <f t="shared" si="48"/>
        <v>#N/A</v>
      </c>
      <c r="G1052" s="2" t="e">
        <f t="shared" si="49"/>
        <v>#N/A</v>
      </c>
      <c r="H1052" s="2" t="e">
        <f t="shared" si="50"/>
        <v>#N/A</v>
      </c>
    </row>
    <row r="1053" spans="6:8" x14ac:dyDescent="0.25">
      <c r="F1053" s="2" t="e">
        <f t="shared" si="48"/>
        <v>#N/A</v>
      </c>
      <c r="G1053" s="2" t="e">
        <f t="shared" si="49"/>
        <v>#N/A</v>
      </c>
      <c r="H1053" s="2" t="e">
        <f t="shared" si="50"/>
        <v>#N/A</v>
      </c>
    </row>
    <row r="1054" spans="6:8" x14ac:dyDescent="0.25">
      <c r="F1054" s="2" t="e">
        <f t="shared" si="48"/>
        <v>#N/A</v>
      </c>
      <c r="G1054" s="2" t="e">
        <f t="shared" si="49"/>
        <v>#N/A</v>
      </c>
      <c r="H1054" s="2" t="e">
        <f t="shared" si="50"/>
        <v>#N/A</v>
      </c>
    </row>
    <row r="1055" spans="6:8" x14ac:dyDescent="0.25">
      <c r="F1055" s="2" t="e">
        <f t="shared" si="48"/>
        <v>#N/A</v>
      </c>
      <c r="G1055" s="2" t="e">
        <f t="shared" si="49"/>
        <v>#N/A</v>
      </c>
      <c r="H1055" s="2" t="e">
        <f t="shared" si="50"/>
        <v>#N/A</v>
      </c>
    </row>
    <row r="1056" spans="6:8" x14ac:dyDescent="0.25">
      <c r="F1056" s="2" t="e">
        <f t="shared" si="48"/>
        <v>#N/A</v>
      </c>
      <c r="G1056" s="2" t="e">
        <f t="shared" si="49"/>
        <v>#N/A</v>
      </c>
      <c r="H1056" s="2" t="e">
        <f t="shared" si="50"/>
        <v>#N/A</v>
      </c>
    </row>
    <row r="1057" spans="6:8" x14ac:dyDescent="0.25">
      <c r="F1057" s="2" t="e">
        <f t="shared" si="48"/>
        <v>#N/A</v>
      </c>
      <c r="G1057" s="2" t="e">
        <f t="shared" si="49"/>
        <v>#N/A</v>
      </c>
      <c r="H1057" s="2" t="e">
        <f t="shared" si="50"/>
        <v>#N/A</v>
      </c>
    </row>
    <row r="1058" spans="6:8" x14ac:dyDescent="0.25">
      <c r="F1058" s="2" t="e">
        <f t="shared" si="48"/>
        <v>#N/A</v>
      </c>
      <c r="G1058" s="2" t="e">
        <f t="shared" si="49"/>
        <v>#N/A</v>
      </c>
      <c r="H1058" s="2" t="e">
        <f t="shared" si="50"/>
        <v>#N/A</v>
      </c>
    </row>
    <row r="1059" spans="6:8" x14ac:dyDescent="0.25">
      <c r="F1059" s="2" t="e">
        <f t="shared" si="48"/>
        <v>#N/A</v>
      </c>
      <c r="G1059" s="2" t="e">
        <f t="shared" si="49"/>
        <v>#N/A</v>
      </c>
      <c r="H1059" s="2" t="e">
        <f t="shared" si="50"/>
        <v>#N/A</v>
      </c>
    </row>
    <row r="1060" spans="6:8" x14ac:dyDescent="0.25">
      <c r="F1060" s="2" t="e">
        <f t="shared" si="48"/>
        <v>#N/A</v>
      </c>
      <c r="G1060" s="2" t="e">
        <f t="shared" si="49"/>
        <v>#N/A</v>
      </c>
      <c r="H1060" s="2" t="e">
        <f t="shared" si="50"/>
        <v>#N/A</v>
      </c>
    </row>
    <row r="1061" spans="6:8" x14ac:dyDescent="0.25">
      <c r="F1061" s="2" t="e">
        <f t="shared" si="48"/>
        <v>#N/A</v>
      </c>
      <c r="G1061" s="2" t="e">
        <f t="shared" si="49"/>
        <v>#N/A</v>
      </c>
      <c r="H1061" s="2" t="e">
        <f t="shared" si="50"/>
        <v>#N/A</v>
      </c>
    </row>
    <row r="1062" spans="6:8" x14ac:dyDescent="0.25">
      <c r="F1062" s="2" t="e">
        <f t="shared" si="48"/>
        <v>#N/A</v>
      </c>
      <c r="G1062" s="2" t="e">
        <f t="shared" si="49"/>
        <v>#N/A</v>
      </c>
      <c r="H1062" s="2" t="e">
        <f t="shared" si="50"/>
        <v>#N/A</v>
      </c>
    </row>
    <row r="1063" spans="6:8" x14ac:dyDescent="0.25">
      <c r="F1063" s="2" t="e">
        <f t="shared" si="48"/>
        <v>#N/A</v>
      </c>
      <c r="G1063" s="2" t="e">
        <f t="shared" si="49"/>
        <v>#N/A</v>
      </c>
      <c r="H1063" s="2" t="e">
        <f t="shared" si="50"/>
        <v>#N/A</v>
      </c>
    </row>
    <row r="1064" spans="6:8" x14ac:dyDescent="0.25">
      <c r="F1064" s="2" t="e">
        <f t="shared" si="48"/>
        <v>#N/A</v>
      </c>
      <c r="G1064" s="2" t="e">
        <f t="shared" si="49"/>
        <v>#N/A</v>
      </c>
      <c r="H1064" s="2" t="e">
        <f t="shared" si="50"/>
        <v>#N/A</v>
      </c>
    </row>
    <row r="1065" spans="6:8" x14ac:dyDescent="0.25">
      <c r="F1065" s="2" t="e">
        <f t="shared" si="48"/>
        <v>#N/A</v>
      </c>
      <c r="G1065" s="2" t="e">
        <f t="shared" si="49"/>
        <v>#N/A</v>
      </c>
      <c r="H1065" s="2" t="e">
        <f t="shared" si="50"/>
        <v>#N/A</v>
      </c>
    </row>
    <row r="1066" spans="6:8" x14ac:dyDescent="0.25">
      <c r="F1066" s="2" t="e">
        <f t="shared" si="48"/>
        <v>#N/A</v>
      </c>
      <c r="G1066" s="2" t="e">
        <f t="shared" si="49"/>
        <v>#N/A</v>
      </c>
      <c r="H1066" s="2" t="e">
        <f t="shared" si="50"/>
        <v>#N/A</v>
      </c>
    </row>
    <row r="1067" spans="6:8" x14ac:dyDescent="0.25">
      <c r="F1067" s="2" t="e">
        <f t="shared" si="48"/>
        <v>#N/A</v>
      </c>
      <c r="G1067" s="2" t="e">
        <f t="shared" si="49"/>
        <v>#N/A</v>
      </c>
      <c r="H1067" s="2" t="e">
        <f t="shared" si="50"/>
        <v>#N/A</v>
      </c>
    </row>
    <row r="1068" spans="6:8" x14ac:dyDescent="0.25">
      <c r="F1068" s="2" t="e">
        <f t="shared" si="48"/>
        <v>#N/A</v>
      </c>
      <c r="G1068" s="2" t="e">
        <f t="shared" si="49"/>
        <v>#N/A</v>
      </c>
      <c r="H1068" s="2" t="e">
        <f t="shared" si="50"/>
        <v>#N/A</v>
      </c>
    </row>
    <row r="1069" spans="6:8" x14ac:dyDescent="0.25">
      <c r="F1069" s="2" t="e">
        <f t="shared" si="48"/>
        <v>#N/A</v>
      </c>
      <c r="G1069" s="2" t="e">
        <f t="shared" si="49"/>
        <v>#N/A</v>
      </c>
      <c r="H1069" s="2" t="e">
        <f t="shared" si="50"/>
        <v>#N/A</v>
      </c>
    </row>
    <row r="1070" spans="6:8" x14ac:dyDescent="0.25">
      <c r="F1070" s="2" t="e">
        <f t="shared" si="48"/>
        <v>#N/A</v>
      </c>
      <c r="G1070" s="2" t="e">
        <f t="shared" si="49"/>
        <v>#N/A</v>
      </c>
      <c r="H1070" s="2" t="e">
        <f t="shared" si="50"/>
        <v>#N/A</v>
      </c>
    </row>
    <row r="1071" spans="6:8" x14ac:dyDescent="0.25">
      <c r="F1071" s="2" t="e">
        <f t="shared" si="48"/>
        <v>#N/A</v>
      </c>
      <c r="G1071" s="2" t="e">
        <f t="shared" si="49"/>
        <v>#N/A</v>
      </c>
      <c r="H1071" s="2" t="e">
        <f t="shared" si="50"/>
        <v>#N/A</v>
      </c>
    </row>
    <row r="1072" spans="6:8" x14ac:dyDescent="0.25">
      <c r="F1072" s="2" t="e">
        <f t="shared" si="48"/>
        <v>#N/A</v>
      </c>
      <c r="G1072" s="2" t="e">
        <f t="shared" si="49"/>
        <v>#N/A</v>
      </c>
      <c r="H1072" s="2" t="e">
        <f t="shared" si="50"/>
        <v>#N/A</v>
      </c>
    </row>
    <row r="1073" spans="6:8" x14ac:dyDescent="0.25">
      <c r="F1073" s="2" t="e">
        <f t="shared" si="48"/>
        <v>#N/A</v>
      </c>
      <c r="G1073" s="2" t="e">
        <f t="shared" si="49"/>
        <v>#N/A</v>
      </c>
      <c r="H1073" s="2" t="e">
        <f t="shared" si="50"/>
        <v>#N/A</v>
      </c>
    </row>
    <row r="1074" spans="6:8" x14ac:dyDescent="0.25">
      <c r="F1074" s="2" t="e">
        <f t="shared" si="48"/>
        <v>#N/A</v>
      </c>
      <c r="G1074" s="2" t="e">
        <f t="shared" si="49"/>
        <v>#N/A</v>
      </c>
      <c r="H1074" s="2" t="e">
        <f t="shared" si="50"/>
        <v>#N/A</v>
      </c>
    </row>
    <row r="1075" spans="6:8" x14ac:dyDescent="0.25">
      <c r="F1075" s="2" t="e">
        <f t="shared" si="48"/>
        <v>#N/A</v>
      </c>
      <c r="G1075" s="2" t="e">
        <f t="shared" si="49"/>
        <v>#N/A</v>
      </c>
      <c r="H1075" s="2" t="e">
        <f t="shared" si="50"/>
        <v>#N/A</v>
      </c>
    </row>
    <row r="1076" spans="6:8" x14ac:dyDescent="0.25">
      <c r="F1076" s="2" t="e">
        <f t="shared" si="48"/>
        <v>#N/A</v>
      </c>
      <c r="G1076" s="2" t="e">
        <f t="shared" si="49"/>
        <v>#N/A</v>
      </c>
      <c r="H1076" s="2" t="e">
        <f t="shared" si="50"/>
        <v>#N/A</v>
      </c>
    </row>
    <row r="1077" spans="6:8" x14ac:dyDescent="0.25">
      <c r="F1077" s="2" t="e">
        <f t="shared" si="48"/>
        <v>#N/A</v>
      </c>
      <c r="G1077" s="2" t="e">
        <f t="shared" si="49"/>
        <v>#N/A</v>
      </c>
      <c r="H1077" s="2" t="e">
        <f t="shared" si="50"/>
        <v>#N/A</v>
      </c>
    </row>
    <row r="1078" spans="6:8" x14ac:dyDescent="0.25">
      <c r="F1078" s="2" t="e">
        <f t="shared" si="48"/>
        <v>#N/A</v>
      </c>
      <c r="G1078" s="2" t="e">
        <f t="shared" si="49"/>
        <v>#N/A</v>
      </c>
      <c r="H1078" s="2" t="e">
        <f t="shared" si="50"/>
        <v>#N/A</v>
      </c>
    </row>
    <row r="1079" spans="6:8" x14ac:dyDescent="0.25">
      <c r="F1079" s="2" t="e">
        <f t="shared" si="48"/>
        <v>#N/A</v>
      </c>
      <c r="G1079" s="2" t="e">
        <f t="shared" si="49"/>
        <v>#N/A</v>
      </c>
      <c r="H1079" s="2" t="e">
        <f t="shared" si="50"/>
        <v>#N/A</v>
      </c>
    </row>
    <row r="1080" spans="6:8" x14ac:dyDescent="0.25">
      <c r="F1080" s="2" t="e">
        <f t="shared" si="48"/>
        <v>#N/A</v>
      </c>
      <c r="G1080" s="2" t="e">
        <f t="shared" si="49"/>
        <v>#N/A</v>
      </c>
      <c r="H1080" s="2" t="e">
        <f t="shared" si="50"/>
        <v>#N/A</v>
      </c>
    </row>
    <row r="1081" spans="6:8" x14ac:dyDescent="0.25">
      <c r="F1081" s="2" t="e">
        <f t="shared" si="48"/>
        <v>#N/A</v>
      </c>
      <c r="G1081" s="2" t="e">
        <f t="shared" si="49"/>
        <v>#N/A</v>
      </c>
      <c r="H1081" s="2" t="e">
        <f t="shared" si="50"/>
        <v>#N/A</v>
      </c>
    </row>
    <row r="1082" spans="6:8" x14ac:dyDescent="0.25">
      <c r="F1082" s="2" t="e">
        <f t="shared" si="48"/>
        <v>#N/A</v>
      </c>
      <c r="G1082" s="2" t="e">
        <f t="shared" si="49"/>
        <v>#N/A</v>
      </c>
      <c r="H1082" s="2" t="e">
        <f t="shared" si="50"/>
        <v>#N/A</v>
      </c>
    </row>
    <row r="1083" spans="6:8" x14ac:dyDescent="0.25">
      <c r="F1083" s="2" t="e">
        <f t="shared" si="48"/>
        <v>#N/A</v>
      </c>
      <c r="G1083" s="2" t="e">
        <f t="shared" si="49"/>
        <v>#N/A</v>
      </c>
      <c r="H1083" s="2" t="e">
        <f t="shared" si="50"/>
        <v>#N/A</v>
      </c>
    </row>
    <row r="1084" spans="6:8" x14ac:dyDescent="0.25">
      <c r="F1084" s="2" t="e">
        <f t="shared" si="48"/>
        <v>#N/A</v>
      </c>
      <c r="G1084" s="2" t="e">
        <f t="shared" si="49"/>
        <v>#N/A</v>
      </c>
      <c r="H1084" s="2" t="e">
        <f t="shared" si="50"/>
        <v>#N/A</v>
      </c>
    </row>
    <row r="1085" spans="6:8" x14ac:dyDescent="0.25">
      <c r="F1085" s="2" t="e">
        <f t="shared" si="48"/>
        <v>#N/A</v>
      </c>
      <c r="G1085" s="2" t="e">
        <f t="shared" si="49"/>
        <v>#N/A</v>
      </c>
      <c r="H1085" s="2" t="e">
        <f t="shared" si="50"/>
        <v>#N/A</v>
      </c>
    </row>
    <row r="1086" spans="6:8" x14ac:dyDescent="0.25">
      <c r="F1086" s="2" t="e">
        <f t="shared" si="48"/>
        <v>#N/A</v>
      </c>
      <c r="G1086" s="2" t="e">
        <f t="shared" si="49"/>
        <v>#N/A</v>
      </c>
      <c r="H1086" s="2" t="e">
        <f t="shared" si="50"/>
        <v>#N/A</v>
      </c>
    </row>
    <row r="1087" spans="6:8" x14ac:dyDescent="0.25">
      <c r="F1087" s="2" t="e">
        <f t="shared" si="48"/>
        <v>#N/A</v>
      </c>
      <c r="G1087" s="2" t="e">
        <f t="shared" si="49"/>
        <v>#N/A</v>
      </c>
      <c r="H1087" s="2" t="e">
        <f t="shared" si="50"/>
        <v>#N/A</v>
      </c>
    </row>
    <row r="1088" spans="6:8" x14ac:dyDescent="0.25">
      <c r="F1088" s="2" t="e">
        <f t="shared" si="48"/>
        <v>#N/A</v>
      </c>
      <c r="G1088" s="2" t="e">
        <f t="shared" si="49"/>
        <v>#N/A</v>
      </c>
      <c r="H1088" s="2" t="e">
        <f t="shared" si="50"/>
        <v>#N/A</v>
      </c>
    </row>
    <row r="1089" spans="6:8" x14ac:dyDescent="0.25">
      <c r="F1089" s="2" t="e">
        <f t="shared" si="48"/>
        <v>#N/A</v>
      </c>
      <c r="G1089" s="2" t="e">
        <f t="shared" si="49"/>
        <v>#N/A</v>
      </c>
      <c r="H1089" s="2" t="e">
        <f t="shared" si="50"/>
        <v>#N/A</v>
      </c>
    </row>
    <row r="1090" spans="6:8" x14ac:dyDescent="0.25">
      <c r="F1090" s="2" t="e">
        <f t="shared" si="48"/>
        <v>#N/A</v>
      </c>
      <c r="G1090" s="2" t="e">
        <f t="shared" si="49"/>
        <v>#N/A</v>
      </c>
      <c r="H1090" s="2" t="e">
        <f t="shared" si="50"/>
        <v>#N/A</v>
      </c>
    </row>
    <row r="1091" spans="6:8" x14ac:dyDescent="0.25">
      <c r="F1091" s="2" t="e">
        <f t="shared" si="48"/>
        <v>#N/A</v>
      </c>
      <c r="G1091" s="2" t="e">
        <f t="shared" si="49"/>
        <v>#N/A</v>
      </c>
      <c r="H1091" s="2" t="e">
        <f t="shared" si="50"/>
        <v>#N/A</v>
      </c>
    </row>
    <row r="1092" spans="6:8" x14ac:dyDescent="0.25">
      <c r="F1092" s="2" t="e">
        <f t="shared" si="48"/>
        <v>#N/A</v>
      </c>
      <c r="G1092" s="2" t="e">
        <f t="shared" si="49"/>
        <v>#N/A</v>
      </c>
      <c r="H1092" s="2" t="e">
        <f t="shared" si="50"/>
        <v>#N/A</v>
      </c>
    </row>
    <row r="1093" spans="6:8" x14ac:dyDescent="0.25">
      <c r="F1093" s="2" t="e">
        <f t="shared" si="48"/>
        <v>#N/A</v>
      </c>
      <c r="G1093" s="2" t="e">
        <f t="shared" si="49"/>
        <v>#N/A</v>
      </c>
      <c r="H1093" s="2" t="e">
        <f t="shared" si="50"/>
        <v>#N/A</v>
      </c>
    </row>
    <row r="1094" spans="6:8" x14ac:dyDescent="0.25">
      <c r="F1094" s="2" t="e">
        <f t="shared" ref="F1094:F1157" si="51">IF(F1093&lt;2,F1093+$D$6,NA())</f>
        <v>#N/A</v>
      </c>
      <c r="G1094" s="2" t="e">
        <f t="shared" ref="G1094:G1157" si="52">IF(ISNA(F1094), NA(),(1+$D$3*$D$6)*G1093+$D$6*$D$4)</f>
        <v>#N/A</v>
      </c>
      <c r="H1094" s="2" t="e">
        <f t="shared" ref="H1094:H1157" si="53">IF(ISNA(G1094),NA(),$D$7*EXP($D$3*F1094)-($D$4/$D$3))</f>
        <v>#N/A</v>
      </c>
    </row>
    <row r="1095" spans="6:8" x14ac:dyDescent="0.25">
      <c r="F1095" s="2" t="e">
        <f t="shared" si="51"/>
        <v>#N/A</v>
      </c>
      <c r="G1095" s="2" t="e">
        <f t="shared" si="52"/>
        <v>#N/A</v>
      </c>
      <c r="H1095" s="2" t="e">
        <f t="shared" si="53"/>
        <v>#N/A</v>
      </c>
    </row>
    <row r="1096" spans="6:8" x14ac:dyDescent="0.25">
      <c r="F1096" s="2" t="e">
        <f t="shared" si="51"/>
        <v>#N/A</v>
      </c>
      <c r="G1096" s="2" t="e">
        <f t="shared" si="52"/>
        <v>#N/A</v>
      </c>
      <c r="H1096" s="2" t="e">
        <f t="shared" si="53"/>
        <v>#N/A</v>
      </c>
    </row>
    <row r="1097" spans="6:8" x14ac:dyDescent="0.25">
      <c r="F1097" s="2" t="e">
        <f t="shared" si="51"/>
        <v>#N/A</v>
      </c>
      <c r="G1097" s="2" t="e">
        <f t="shared" si="52"/>
        <v>#N/A</v>
      </c>
      <c r="H1097" s="2" t="e">
        <f t="shared" si="53"/>
        <v>#N/A</v>
      </c>
    </row>
    <row r="1098" spans="6:8" x14ac:dyDescent="0.25">
      <c r="F1098" s="2" t="e">
        <f t="shared" si="51"/>
        <v>#N/A</v>
      </c>
      <c r="G1098" s="2" t="e">
        <f t="shared" si="52"/>
        <v>#N/A</v>
      </c>
      <c r="H1098" s="2" t="e">
        <f t="shared" si="53"/>
        <v>#N/A</v>
      </c>
    </row>
    <row r="1099" spans="6:8" x14ac:dyDescent="0.25">
      <c r="F1099" s="2" t="e">
        <f t="shared" si="51"/>
        <v>#N/A</v>
      </c>
      <c r="G1099" s="2" t="e">
        <f t="shared" si="52"/>
        <v>#N/A</v>
      </c>
      <c r="H1099" s="2" t="e">
        <f t="shared" si="53"/>
        <v>#N/A</v>
      </c>
    </row>
    <row r="1100" spans="6:8" x14ac:dyDescent="0.25">
      <c r="F1100" s="2" t="e">
        <f t="shared" si="51"/>
        <v>#N/A</v>
      </c>
      <c r="G1100" s="2" t="e">
        <f t="shared" si="52"/>
        <v>#N/A</v>
      </c>
      <c r="H1100" s="2" t="e">
        <f t="shared" si="53"/>
        <v>#N/A</v>
      </c>
    </row>
    <row r="1101" spans="6:8" x14ac:dyDescent="0.25">
      <c r="F1101" s="2" t="e">
        <f t="shared" si="51"/>
        <v>#N/A</v>
      </c>
      <c r="G1101" s="2" t="e">
        <f t="shared" si="52"/>
        <v>#N/A</v>
      </c>
      <c r="H1101" s="2" t="e">
        <f t="shared" si="53"/>
        <v>#N/A</v>
      </c>
    </row>
    <row r="1102" spans="6:8" x14ac:dyDescent="0.25">
      <c r="F1102" s="2" t="e">
        <f t="shared" si="51"/>
        <v>#N/A</v>
      </c>
      <c r="G1102" s="2" t="e">
        <f t="shared" si="52"/>
        <v>#N/A</v>
      </c>
      <c r="H1102" s="2" t="e">
        <f t="shared" si="53"/>
        <v>#N/A</v>
      </c>
    </row>
    <row r="1103" spans="6:8" x14ac:dyDescent="0.25">
      <c r="F1103" s="2" t="e">
        <f t="shared" si="51"/>
        <v>#N/A</v>
      </c>
      <c r="G1103" s="2" t="e">
        <f t="shared" si="52"/>
        <v>#N/A</v>
      </c>
      <c r="H1103" s="2" t="e">
        <f t="shared" si="53"/>
        <v>#N/A</v>
      </c>
    </row>
    <row r="1104" spans="6:8" x14ac:dyDescent="0.25">
      <c r="F1104" s="2" t="e">
        <f t="shared" si="51"/>
        <v>#N/A</v>
      </c>
      <c r="G1104" s="2" t="e">
        <f t="shared" si="52"/>
        <v>#N/A</v>
      </c>
      <c r="H1104" s="2" t="e">
        <f t="shared" si="53"/>
        <v>#N/A</v>
      </c>
    </row>
    <row r="1105" spans="6:8" x14ac:dyDescent="0.25">
      <c r="F1105" s="2" t="e">
        <f t="shared" si="51"/>
        <v>#N/A</v>
      </c>
      <c r="G1105" s="2" t="e">
        <f t="shared" si="52"/>
        <v>#N/A</v>
      </c>
      <c r="H1105" s="2" t="e">
        <f t="shared" si="53"/>
        <v>#N/A</v>
      </c>
    </row>
    <row r="1106" spans="6:8" x14ac:dyDescent="0.25">
      <c r="F1106" s="2" t="e">
        <f t="shared" si="51"/>
        <v>#N/A</v>
      </c>
      <c r="G1106" s="2" t="e">
        <f t="shared" si="52"/>
        <v>#N/A</v>
      </c>
      <c r="H1106" s="2" t="e">
        <f t="shared" si="53"/>
        <v>#N/A</v>
      </c>
    </row>
    <row r="1107" spans="6:8" x14ac:dyDescent="0.25">
      <c r="F1107" s="2" t="e">
        <f t="shared" si="51"/>
        <v>#N/A</v>
      </c>
      <c r="G1107" s="2" t="e">
        <f t="shared" si="52"/>
        <v>#N/A</v>
      </c>
      <c r="H1107" s="2" t="e">
        <f t="shared" si="53"/>
        <v>#N/A</v>
      </c>
    </row>
    <row r="1108" spans="6:8" x14ac:dyDescent="0.25">
      <c r="F1108" s="2" t="e">
        <f t="shared" si="51"/>
        <v>#N/A</v>
      </c>
      <c r="G1108" s="2" t="e">
        <f t="shared" si="52"/>
        <v>#N/A</v>
      </c>
      <c r="H1108" s="2" t="e">
        <f t="shared" si="53"/>
        <v>#N/A</v>
      </c>
    </row>
    <row r="1109" spans="6:8" x14ac:dyDescent="0.25">
      <c r="F1109" s="2" t="e">
        <f t="shared" si="51"/>
        <v>#N/A</v>
      </c>
      <c r="G1109" s="2" t="e">
        <f t="shared" si="52"/>
        <v>#N/A</v>
      </c>
      <c r="H1109" s="2" t="e">
        <f t="shared" si="53"/>
        <v>#N/A</v>
      </c>
    </row>
    <row r="1110" spans="6:8" x14ac:dyDescent="0.25">
      <c r="F1110" s="2" t="e">
        <f t="shared" si="51"/>
        <v>#N/A</v>
      </c>
      <c r="G1110" s="2" t="e">
        <f t="shared" si="52"/>
        <v>#N/A</v>
      </c>
      <c r="H1110" s="2" t="e">
        <f t="shared" si="53"/>
        <v>#N/A</v>
      </c>
    </row>
    <row r="1111" spans="6:8" x14ac:dyDescent="0.25">
      <c r="F1111" s="2" t="e">
        <f t="shared" si="51"/>
        <v>#N/A</v>
      </c>
      <c r="G1111" s="2" t="e">
        <f t="shared" si="52"/>
        <v>#N/A</v>
      </c>
      <c r="H1111" s="2" t="e">
        <f t="shared" si="53"/>
        <v>#N/A</v>
      </c>
    </row>
    <row r="1112" spans="6:8" x14ac:dyDescent="0.25">
      <c r="F1112" s="2" t="e">
        <f t="shared" si="51"/>
        <v>#N/A</v>
      </c>
      <c r="G1112" s="2" t="e">
        <f t="shared" si="52"/>
        <v>#N/A</v>
      </c>
      <c r="H1112" s="2" t="e">
        <f t="shared" si="53"/>
        <v>#N/A</v>
      </c>
    </row>
    <row r="1113" spans="6:8" x14ac:dyDescent="0.25">
      <c r="F1113" s="2" t="e">
        <f t="shared" si="51"/>
        <v>#N/A</v>
      </c>
      <c r="G1113" s="2" t="e">
        <f t="shared" si="52"/>
        <v>#N/A</v>
      </c>
      <c r="H1113" s="2" t="e">
        <f t="shared" si="53"/>
        <v>#N/A</v>
      </c>
    </row>
    <row r="1114" spans="6:8" x14ac:dyDescent="0.25">
      <c r="F1114" s="2" t="e">
        <f t="shared" si="51"/>
        <v>#N/A</v>
      </c>
      <c r="G1114" s="2" t="e">
        <f t="shared" si="52"/>
        <v>#N/A</v>
      </c>
      <c r="H1114" s="2" t="e">
        <f t="shared" si="53"/>
        <v>#N/A</v>
      </c>
    </row>
    <row r="1115" spans="6:8" x14ac:dyDescent="0.25">
      <c r="F1115" s="2" t="e">
        <f t="shared" si="51"/>
        <v>#N/A</v>
      </c>
      <c r="G1115" s="2" t="e">
        <f t="shared" si="52"/>
        <v>#N/A</v>
      </c>
      <c r="H1115" s="2" t="e">
        <f t="shared" si="53"/>
        <v>#N/A</v>
      </c>
    </row>
    <row r="1116" spans="6:8" x14ac:dyDescent="0.25">
      <c r="F1116" s="2" t="e">
        <f t="shared" si="51"/>
        <v>#N/A</v>
      </c>
      <c r="G1116" s="2" t="e">
        <f t="shared" si="52"/>
        <v>#N/A</v>
      </c>
      <c r="H1116" s="2" t="e">
        <f t="shared" si="53"/>
        <v>#N/A</v>
      </c>
    </row>
    <row r="1117" spans="6:8" x14ac:dyDescent="0.25">
      <c r="F1117" s="2" t="e">
        <f t="shared" si="51"/>
        <v>#N/A</v>
      </c>
      <c r="G1117" s="2" t="e">
        <f t="shared" si="52"/>
        <v>#N/A</v>
      </c>
      <c r="H1117" s="2" t="e">
        <f t="shared" si="53"/>
        <v>#N/A</v>
      </c>
    </row>
    <row r="1118" spans="6:8" x14ac:dyDescent="0.25">
      <c r="F1118" s="2" t="e">
        <f t="shared" si="51"/>
        <v>#N/A</v>
      </c>
      <c r="G1118" s="2" t="e">
        <f t="shared" si="52"/>
        <v>#N/A</v>
      </c>
      <c r="H1118" s="2" t="e">
        <f t="shared" si="53"/>
        <v>#N/A</v>
      </c>
    </row>
    <row r="1119" spans="6:8" x14ac:dyDescent="0.25">
      <c r="F1119" s="2" t="e">
        <f t="shared" si="51"/>
        <v>#N/A</v>
      </c>
      <c r="G1119" s="2" t="e">
        <f t="shared" si="52"/>
        <v>#N/A</v>
      </c>
      <c r="H1119" s="2" t="e">
        <f t="shared" si="53"/>
        <v>#N/A</v>
      </c>
    </row>
    <row r="1120" spans="6:8" x14ac:dyDescent="0.25">
      <c r="F1120" s="2" t="e">
        <f t="shared" si="51"/>
        <v>#N/A</v>
      </c>
      <c r="G1120" s="2" t="e">
        <f t="shared" si="52"/>
        <v>#N/A</v>
      </c>
      <c r="H1120" s="2" t="e">
        <f t="shared" si="53"/>
        <v>#N/A</v>
      </c>
    </row>
    <row r="1121" spans="6:8" x14ac:dyDescent="0.25">
      <c r="F1121" s="2" t="e">
        <f t="shared" si="51"/>
        <v>#N/A</v>
      </c>
      <c r="G1121" s="2" t="e">
        <f t="shared" si="52"/>
        <v>#N/A</v>
      </c>
      <c r="H1121" s="2" t="e">
        <f t="shared" si="53"/>
        <v>#N/A</v>
      </c>
    </row>
    <row r="1122" spans="6:8" x14ac:dyDescent="0.25">
      <c r="F1122" s="2" t="e">
        <f t="shared" si="51"/>
        <v>#N/A</v>
      </c>
      <c r="G1122" s="2" t="e">
        <f t="shared" si="52"/>
        <v>#N/A</v>
      </c>
      <c r="H1122" s="2" t="e">
        <f t="shared" si="53"/>
        <v>#N/A</v>
      </c>
    </row>
    <row r="1123" spans="6:8" x14ac:dyDescent="0.25">
      <c r="F1123" s="2" t="e">
        <f t="shared" si="51"/>
        <v>#N/A</v>
      </c>
      <c r="G1123" s="2" t="e">
        <f t="shared" si="52"/>
        <v>#N/A</v>
      </c>
      <c r="H1123" s="2" t="e">
        <f t="shared" si="53"/>
        <v>#N/A</v>
      </c>
    </row>
    <row r="1124" spans="6:8" x14ac:dyDescent="0.25">
      <c r="F1124" s="2" t="e">
        <f t="shared" si="51"/>
        <v>#N/A</v>
      </c>
      <c r="G1124" s="2" t="e">
        <f t="shared" si="52"/>
        <v>#N/A</v>
      </c>
      <c r="H1124" s="2" t="e">
        <f t="shared" si="53"/>
        <v>#N/A</v>
      </c>
    </row>
    <row r="1125" spans="6:8" x14ac:dyDescent="0.25">
      <c r="F1125" s="2" t="e">
        <f t="shared" si="51"/>
        <v>#N/A</v>
      </c>
      <c r="G1125" s="2" t="e">
        <f t="shared" si="52"/>
        <v>#N/A</v>
      </c>
      <c r="H1125" s="2" t="e">
        <f t="shared" si="53"/>
        <v>#N/A</v>
      </c>
    </row>
    <row r="1126" spans="6:8" x14ac:dyDescent="0.25">
      <c r="F1126" s="2" t="e">
        <f t="shared" si="51"/>
        <v>#N/A</v>
      </c>
      <c r="G1126" s="2" t="e">
        <f t="shared" si="52"/>
        <v>#N/A</v>
      </c>
      <c r="H1126" s="2" t="e">
        <f t="shared" si="53"/>
        <v>#N/A</v>
      </c>
    </row>
    <row r="1127" spans="6:8" x14ac:dyDescent="0.25">
      <c r="F1127" s="2" t="e">
        <f t="shared" si="51"/>
        <v>#N/A</v>
      </c>
      <c r="G1127" s="2" t="e">
        <f t="shared" si="52"/>
        <v>#N/A</v>
      </c>
      <c r="H1127" s="2" t="e">
        <f t="shared" si="53"/>
        <v>#N/A</v>
      </c>
    </row>
    <row r="1128" spans="6:8" x14ac:dyDescent="0.25">
      <c r="F1128" s="2" t="e">
        <f t="shared" si="51"/>
        <v>#N/A</v>
      </c>
      <c r="G1128" s="2" t="e">
        <f t="shared" si="52"/>
        <v>#N/A</v>
      </c>
      <c r="H1128" s="2" t="e">
        <f t="shared" si="53"/>
        <v>#N/A</v>
      </c>
    </row>
    <row r="1129" spans="6:8" x14ac:dyDescent="0.25">
      <c r="F1129" s="2" t="e">
        <f t="shared" si="51"/>
        <v>#N/A</v>
      </c>
      <c r="G1129" s="2" t="e">
        <f t="shared" si="52"/>
        <v>#N/A</v>
      </c>
      <c r="H1129" s="2" t="e">
        <f t="shared" si="53"/>
        <v>#N/A</v>
      </c>
    </row>
    <row r="1130" spans="6:8" x14ac:dyDescent="0.25">
      <c r="F1130" s="2" t="e">
        <f t="shared" si="51"/>
        <v>#N/A</v>
      </c>
      <c r="G1130" s="2" t="e">
        <f t="shared" si="52"/>
        <v>#N/A</v>
      </c>
      <c r="H1130" s="2" t="e">
        <f t="shared" si="53"/>
        <v>#N/A</v>
      </c>
    </row>
    <row r="1131" spans="6:8" x14ac:dyDescent="0.25">
      <c r="F1131" s="2" t="e">
        <f t="shared" si="51"/>
        <v>#N/A</v>
      </c>
      <c r="G1131" s="2" t="e">
        <f t="shared" si="52"/>
        <v>#N/A</v>
      </c>
      <c r="H1131" s="2" t="e">
        <f t="shared" si="53"/>
        <v>#N/A</v>
      </c>
    </row>
    <row r="1132" spans="6:8" x14ac:dyDescent="0.25">
      <c r="F1132" s="2" t="e">
        <f t="shared" si="51"/>
        <v>#N/A</v>
      </c>
      <c r="G1132" s="2" t="e">
        <f t="shared" si="52"/>
        <v>#N/A</v>
      </c>
      <c r="H1132" s="2" t="e">
        <f t="shared" si="53"/>
        <v>#N/A</v>
      </c>
    </row>
    <row r="1133" spans="6:8" x14ac:dyDescent="0.25">
      <c r="F1133" s="2" t="e">
        <f t="shared" si="51"/>
        <v>#N/A</v>
      </c>
      <c r="G1133" s="2" t="e">
        <f t="shared" si="52"/>
        <v>#N/A</v>
      </c>
      <c r="H1133" s="2" t="e">
        <f t="shared" si="53"/>
        <v>#N/A</v>
      </c>
    </row>
    <row r="1134" spans="6:8" x14ac:dyDescent="0.25">
      <c r="F1134" s="2" t="e">
        <f t="shared" si="51"/>
        <v>#N/A</v>
      </c>
      <c r="G1134" s="2" t="e">
        <f t="shared" si="52"/>
        <v>#N/A</v>
      </c>
      <c r="H1134" s="2" t="e">
        <f t="shared" si="53"/>
        <v>#N/A</v>
      </c>
    </row>
    <row r="1135" spans="6:8" x14ac:dyDescent="0.25">
      <c r="F1135" s="2" t="e">
        <f t="shared" si="51"/>
        <v>#N/A</v>
      </c>
      <c r="G1135" s="2" t="e">
        <f t="shared" si="52"/>
        <v>#N/A</v>
      </c>
      <c r="H1135" s="2" t="e">
        <f t="shared" si="53"/>
        <v>#N/A</v>
      </c>
    </row>
    <row r="1136" spans="6:8" x14ac:dyDescent="0.25">
      <c r="F1136" s="2" t="e">
        <f t="shared" si="51"/>
        <v>#N/A</v>
      </c>
      <c r="G1136" s="2" t="e">
        <f t="shared" si="52"/>
        <v>#N/A</v>
      </c>
      <c r="H1136" s="2" t="e">
        <f t="shared" si="53"/>
        <v>#N/A</v>
      </c>
    </row>
    <row r="1137" spans="6:8" x14ac:dyDescent="0.25">
      <c r="F1137" s="2" t="e">
        <f t="shared" si="51"/>
        <v>#N/A</v>
      </c>
      <c r="G1137" s="2" t="e">
        <f t="shared" si="52"/>
        <v>#N/A</v>
      </c>
      <c r="H1137" s="2" t="e">
        <f t="shared" si="53"/>
        <v>#N/A</v>
      </c>
    </row>
    <row r="1138" spans="6:8" x14ac:dyDescent="0.25">
      <c r="F1138" s="2" t="e">
        <f t="shared" si="51"/>
        <v>#N/A</v>
      </c>
      <c r="G1138" s="2" t="e">
        <f t="shared" si="52"/>
        <v>#N/A</v>
      </c>
      <c r="H1138" s="2" t="e">
        <f t="shared" si="53"/>
        <v>#N/A</v>
      </c>
    </row>
    <row r="1139" spans="6:8" x14ac:dyDescent="0.25">
      <c r="F1139" s="2" t="e">
        <f t="shared" si="51"/>
        <v>#N/A</v>
      </c>
      <c r="G1139" s="2" t="e">
        <f t="shared" si="52"/>
        <v>#N/A</v>
      </c>
      <c r="H1139" s="2" t="e">
        <f t="shared" si="53"/>
        <v>#N/A</v>
      </c>
    </row>
    <row r="1140" spans="6:8" x14ac:dyDescent="0.25">
      <c r="F1140" s="2" t="e">
        <f t="shared" si="51"/>
        <v>#N/A</v>
      </c>
      <c r="G1140" s="2" t="e">
        <f t="shared" si="52"/>
        <v>#N/A</v>
      </c>
      <c r="H1140" s="2" t="e">
        <f t="shared" si="53"/>
        <v>#N/A</v>
      </c>
    </row>
    <row r="1141" spans="6:8" x14ac:dyDescent="0.25">
      <c r="F1141" s="2" t="e">
        <f t="shared" si="51"/>
        <v>#N/A</v>
      </c>
      <c r="G1141" s="2" t="e">
        <f t="shared" si="52"/>
        <v>#N/A</v>
      </c>
      <c r="H1141" s="2" t="e">
        <f t="shared" si="53"/>
        <v>#N/A</v>
      </c>
    </row>
    <row r="1142" spans="6:8" x14ac:dyDescent="0.25">
      <c r="F1142" s="2" t="e">
        <f t="shared" si="51"/>
        <v>#N/A</v>
      </c>
      <c r="G1142" s="2" t="e">
        <f t="shared" si="52"/>
        <v>#N/A</v>
      </c>
      <c r="H1142" s="2" t="e">
        <f t="shared" si="53"/>
        <v>#N/A</v>
      </c>
    </row>
    <row r="1143" spans="6:8" x14ac:dyDescent="0.25">
      <c r="F1143" s="2" t="e">
        <f t="shared" si="51"/>
        <v>#N/A</v>
      </c>
      <c r="G1143" s="2" t="e">
        <f t="shared" si="52"/>
        <v>#N/A</v>
      </c>
      <c r="H1143" s="2" t="e">
        <f t="shared" si="53"/>
        <v>#N/A</v>
      </c>
    </row>
    <row r="1144" spans="6:8" x14ac:dyDescent="0.25">
      <c r="F1144" s="2" t="e">
        <f t="shared" si="51"/>
        <v>#N/A</v>
      </c>
      <c r="G1144" s="2" t="e">
        <f t="shared" si="52"/>
        <v>#N/A</v>
      </c>
      <c r="H1144" s="2" t="e">
        <f t="shared" si="53"/>
        <v>#N/A</v>
      </c>
    </row>
    <row r="1145" spans="6:8" x14ac:dyDescent="0.25">
      <c r="F1145" s="2" t="e">
        <f t="shared" si="51"/>
        <v>#N/A</v>
      </c>
      <c r="G1145" s="2" t="e">
        <f t="shared" si="52"/>
        <v>#N/A</v>
      </c>
      <c r="H1145" s="2" t="e">
        <f t="shared" si="53"/>
        <v>#N/A</v>
      </c>
    </row>
    <row r="1146" spans="6:8" x14ac:dyDescent="0.25">
      <c r="F1146" s="2" t="e">
        <f t="shared" si="51"/>
        <v>#N/A</v>
      </c>
      <c r="G1146" s="2" t="e">
        <f t="shared" si="52"/>
        <v>#N/A</v>
      </c>
      <c r="H1146" s="2" t="e">
        <f t="shared" si="53"/>
        <v>#N/A</v>
      </c>
    </row>
    <row r="1147" spans="6:8" x14ac:dyDescent="0.25">
      <c r="F1147" s="2" t="e">
        <f t="shared" si="51"/>
        <v>#N/A</v>
      </c>
      <c r="G1147" s="2" t="e">
        <f t="shared" si="52"/>
        <v>#N/A</v>
      </c>
      <c r="H1147" s="2" t="e">
        <f t="shared" si="53"/>
        <v>#N/A</v>
      </c>
    </row>
    <row r="1148" spans="6:8" x14ac:dyDescent="0.25">
      <c r="F1148" s="2" t="e">
        <f t="shared" si="51"/>
        <v>#N/A</v>
      </c>
      <c r="G1148" s="2" t="e">
        <f t="shared" si="52"/>
        <v>#N/A</v>
      </c>
      <c r="H1148" s="2" t="e">
        <f t="shared" si="53"/>
        <v>#N/A</v>
      </c>
    </row>
    <row r="1149" spans="6:8" x14ac:dyDescent="0.25">
      <c r="F1149" s="2" t="e">
        <f t="shared" si="51"/>
        <v>#N/A</v>
      </c>
      <c r="G1149" s="2" t="e">
        <f t="shared" si="52"/>
        <v>#N/A</v>
      </c>
      <c r="H1149" s="2" t="e">
        <f t="shared" si="53"/>
        <v>#N/A</v>
      </c>
    </row>
    <row r="1150" spans="6:8" x14ac:dyDescent="0.25">
      <c r="F1150" s="2" t="e">
        <f t="shared" si="51"/>
        <v>#N/A</v>
      </c>
      <c r="G1150" s="2" t="e">
        <f t="shared" si="52"/>
        <v>#N/A</v>
      </c>
      <c r="H1150" s="2" t="e">
        <f t="shared" si="53"/>
        <v>#N/A</v>
      </c>
    </row>
    <row r="1151" spans="6:8" x14ac:dyDescent="0.25">
      <c r="F1151" s="2" t="e">
        <f t="shared" si="51"/>
        <v>#N/A</v>
      </c>
      <c r="G1151" s="2" t="e">
        <f t="shared" si="52"/>
        <v>#N/A</v>
      </c>
      <c r="H1151" s="2" t="e">
        <f t="shared" si="53"/>
        <v>#N/A</v>
      </c>
    </row>
    <row r="1152" spans="6:8" x14ac:dyDescent="0.25">
      <c r="F1152" s="2" t="e">
        <f t="shared" si="51"/>
        <v>#N/A</v>
      </c>
      <c r="G1152" s="2" t="e">
        <f t="shared" si="52"/>
        <v>#N/A</v>
      </c>
      <c r="H1152" s="2" t="e">
        <f t="shared" si="53"/>
        <v>#N/A</v>
      </c>
    </row>
    <row r="1153" spans="6:8" x14ac:dyDescent="0.25">
      <c r="F1153" s="2" t="e">
        <f t="shared" si="51"/>
        <v>#N/A</v>
      </c>
      <c r="G1153" s="2" t="e">
        <f t="shared" si="52"/>
        <v>#N/A</v>
      </c>
      <c r="H1153" s="2" t="e">
        <f t="shared" si="53"/>
        <v>#N/A</v>
      </c>
    </row>
    <row r="1154" spans="6:8" x14ac:dyDescent="0.25">
      <c r="F1154" s="2" t="e">
        <f t="shared" si="51"/>
        <v>#N/A</v>
      </c>
      <c r="G1154" s="2" t="e">
        <f t="shared" si="52"/>
        <v>#N/A</v>
      </c>
      <c r="H1154" s="2" t="e">
        <f t="shared" si="53"/>
        <v>#N/A</v>
      </c>
    </row>
    <row r="1155" spans="6:8" x14ac:dyDescent="0.25">
      <c r="F1155" s="2" t="e">
        <f t="shared" si="51"/>
        <v>#N/A</v>
      </c>
      <c r="G1155" s="2" t="e">
        <f t="shared" si="52"/>
        <v>#N/A</v>
      </c>
      <c r="H1155" s="2" t="e">
        <f t="shared" si="53"/>
        <v>#N/A</v>
      </c>
    </row>
    <row r="1156" spans="6:8" x14ac:dyDescent="0.25">
      <c r="F1156" s="2" t="e">
        <f t="shared" si="51"/>
        <v>#N/A</v>
      </c>
      <c r="G1156" s="2" t="e">
        <f t="shared" si="52"/>
        <v>#N/A</v>
      </c>
      <c r="H1156" s="2" t="e">
        <f t="shared" si="53"/>
        <v>#N/A</v>
      </c>
    </row>
    <row r="1157" spans="6:8" x14ac:dyDescent="0.25">
      <c r="F1157" s="2" t="e">
        <f t="shared" si="51"/>
        <v>#N/A</v>
      </c>
      <c r="G1157" s="2" t="e">
        <f t="shared" si="52"/>
        <v>#N/A</v>
      </c>
      <c r="H1157" s="2" t="e">
        <f t="shared" si="53"/>
        <v>#N/A</v>
      </c>
    </row>
    <row r="1158" spans="6:8" x14ac:dyDescent="0.25">
      <c r="F1158" s="2" t="e">
        <f t="shared" ref="F1158:F1221" si="54">IF(F1157&lt;2,F1157+$D$6,NA())</f>
        <v>#N/A</v>
      </c>
      <c r="G1158" s="2" t="e">
        <f t="shared" ref="G1158:G1221" si="55">IF(ISNA(F1158), NA(),(1+$D$3*$D$6)*G1157+$D$6*$D$4)</f>
        <v>#N/A</v>
      </c>
      <c r="H1158" s="2" t="e">
        <f t="shared" ref="H1158:H1221" si="56">IF(ISNA(G1158),NA(),$D$7*EXP($D$3*F1158)-($D$4/$D$3))</f>
        <v>#N/A</v>
      </c>
    </row>
    <row r="1159" spans="6:8" x14ac:dyDescent="0.25">
      <c r="F1159" s="2" t="e">
        <f t="shared" si="54"/>
        <v>#N/A</v>
      </c>
      <c r="G1159" s="2" t="e">
        <f t="shared" si="55"/>
        <v>#N/A</v>
      </c>
      <c r="H1159" s="2" t="e">
        <f t="shared" si="56"/>
        <v>#N/A</v>
      </c>
    </row>
    <row r="1160" spans="6:8" x14ac:dyDescent="0.25">
      <c r="F1160" s="2" t="e">
        <f t="shared" si="54"/>
        <v>#N/A</v>
      </c>
      <c r="G1160" s="2" t="e">
        <f t="shared" si="55"/>
        <v>#N/A</v>
      </c>
      <c r="H1160" s="2" t="e">
        <f t="shared" si="56"/>
        <v>#N/A</v>
      </c>
    </row>
    <row r="1161" spans="6:8" x14ac:dyDescent="0.25">
      <c r="F1161" s="2" t="e">
        <f t="shared" si="54"/>
        <v>#N/A</v>
      </c>
      <c r="G1161" s="2" t="e">
        <f t="shared" si="55"/>
        <v>#N/A</v>
      </c>
      <c r="H1161" s="2" t="e">
        <f t="shared" si="56"/>
        <v>#N/A</v>
      </c>
    </row>
    <row r="1162" spans="6:8" x14ac:dyDescent="0.25">
      <c r="F1162" s="2" t="e">
        <f t="shared" si="54"/>
        <v>#N/A</v>
      </c>
      <c r="G1162" s="2" t="e">
        <f t="shared" si="55"/>
        <v>#N/A</v>
      </c>
      <c r="H1162" s="2" t="e">
        <f t="shared" si="56"/>
        <v>#N/A</v>
      </c>
    </row>
    <row r="1163" spans="6:8" x14ac:dyDescent="0.25">
      <c r="F1163" s="2" t="e">
        <f t="shared" si="54"/>
        <v>#N/A</v>
      </c>
      <c r="G1163" s="2" t="e">
        <f t="shared" si="55"/>
        <v>#N/A</v>
      </c>
      <c r="H1163" s="2" t="e">
        <f t="shared" si="56"/>
        <v>#N/A</v>
      </c>
    </row>
    <row r="1164" spans="6:8" x14ac:dyDescent="0.25">
      <c r="F1164" s="2" t="e">
        <f t="shared" si="54"/>
        <v>#N/A</v>
      </c>
      <c r="G1164" s="2" t="e">
        <f t="shared" si="55"/>
        <v>#N/A</v>
      </c>
      <c r="H1164" s="2" t="e">
        <f t="shared" si="56"/>
        <v>#N/A</v>
      </c>
    </row>
    <row r="1165" spans="6:8" x14ac:dyDescent="0.25">
      <c r="F1165" s="2" t="e">
        <f t="shared" si="54"/>
        <v>#N/A</v>
      </c>
      <c r="G1165" s="2" t="e">
        <f t="shared" si="55"/>
        <v>#N/A</v>
      </c>
      <c r="H1165" s="2" t="e">
        <f t="shared" si="56"/>
        <v>#N/A</v>
      </c>
    </row>
    <row r="1166" spans="6:8" x14ac:dyDescent="0.25">
      <c r="F1166" s="2" t="e">
        <f t="shared" si="54"/>
        <v>#N/A</v>
      </c>
      <c r="G1166" s="2" t="e">
        <f t="shared" si="55"/>
        <v>#N/A</v>
      </c>
      <c r="H1166" s="2" t="e">
        <f t="shared" si="56"/>
        <v>#N/A</v>
      </c>
    </row>
    <row r="1167" spans="6:8" x14ac:dyDescent="0.25">
      <c r="F1167" s="2" t="e">
        <f t="shared" si="54"/>
        <v>#N/A</v>
      </c>
      <c r="G1167" s="2" t="e">
        <f t="shared" si="55"/>
        <v>#N/A</v>
      </c>
      <c r="H1167" s="2" t="e">
        <f t="shared" si="56"/>
        <v>#N/A</v>
      </c>
    </row>
    <row r="1168" spans="6:8" x14ac:dyDescent="0.25">
      <c r="F1168" s="2" t="e">
        <f t="shared" si="54"/>
        <v>#N/A</v>
      </c>
      <c r="G1168" s="2" t="e">
        <f t="shared" si="55"/>
        <v>#N/A</v>
      </c>
      <c r="H1168" s="2" t="e">
        <f t="shared" si="56"/>
        <v>#N/A</v>
      </c>
    </row>
    <row r="1169" spans="6:8" x14ac:dyDescent="0.25">
      <c r="F1169" s="2" t="e">
        <f t="shared" si="54"/>
        <v>#N/A</v>
      </c>
      <c r="G1169" s="2" t="e">
        <f t="shared" si="55"/>
        <v>#N/A</v>
      </c>
      <c r="H1169" s="2" t="e">
        <f t="shared" si="56"/>
        <v>#N/A</v>
      </c>
    </row>
    <row r="1170" spans="6:8" x14ac:dyDescent="0.25">
      <c r="F1170" s="2" t="e">
        <f t="shared" si="54"/>
        <v>#N/A</v>
      </c>
      <c r="G1170" s="2" t="e">
        <f t="shared" si="55"/>
        <v>#N/A</v>
      </c>
      <c r="H1170" s="2" t="e">
        <f t="shared" si="56"/>
        <v>#N/A</v>
      </c>
    </row>
    <row r="1171" spans="6:8" x14ac:dyDescent="0.25">
      <c r="F1171" s="2" t="e">
        <f t="shared" si="54"/>
        <v>#N/A</v>
      </c>
      <c r="G1171" s="2" t="e">
        <f t="shared" si="55"/>
        <v>#N/A</v>
      </c>
      <c r="H1171" s="2" t="e">
        <f t="shared" si="56"/>
        <v>#N/A</v>
      </c>
    </row>
    <row r="1172" spans="6:8" x14ac:dyDescent="0.25">
      <c r="F1172" s="2" t="e">
        <f t="shared" si="54"/>
        <v>#N/A</v>
      </c>
      <c r="G1172" s="2" t="e">
        <f t="shared" si="55"/>
        <v>#N/A</v>
      </c>
      <c r="H1172" s="2" t="e">
        <f t="shared" si="56"/>
        <v>#N/A</v>
      </c>
    </row>
    <row r="1173" spans="6:8" x14ac:dyDescent="0.25">
      <c r="F1173" s="2" t="e">
        <f t="shared" si="54"/>
        <v>#N/A</v>
      </c>
      <c r="G1173" s="2" t="e">
        <f t="shared" si="55"/>
        <v>#N/A</v>
      </c>
      <c r="H1173" s="2" t="e">
        <f t="shared" si="56"/>
        <v>#N/A</v>
      </c>
    </row>
    <row r="1174" spans="6:8" x14ac:dyDescent="0.25">
      <c r="F1174" s="2" t="e">
        <f t="shared" si="54"/>
        <v>#N/A</v>
      </c>
      <c r="G1174" s="2" t="e">
        <f t="shared" si="55"/>
        <v>#N/A</v>
      </c>
      <c r="H1174" s="2" t="e">
        <f t="shared" si="56"/>
        <v>#N/A</v>
      </c>
    </row>
    <row r="1175" spans="6:8" x14ac:dyDescent="0.25">
      <c r="F1175" s="2" t="e">
        <f t="shared" si="54"/>
        <v>#N/A</v>
      </c>
      <c r="G1175" s="2" t="e">
        <f t="shared" si="55"/>
        <v>#N/A</v>
      </c>
      <c r="H1175" s="2" t="e">
        <f t="shared" si="56"/>
        <v>#N/A</v>
      </c>
    </row>
    <row r="1176" spans="6:8" x14ac:dyDescent="0.25">
      <c r="F1176" s="2" t="e">
        <f t="shared" si="54"/>
        <v>#N/A</v>
      </c>
      <c r="G1176" s="2" t="e">
        <f t="shared" si="55"/>
        <v>#N/A</v>
      </c>
      <c r="H1176" s="2" t="e">
        <f t="shared" si="56"/>
        <v>#N/A</v>
      </c>
    </row>
    <row r="1177" spans="6:8" x14ac:dyDescent="0.25">
      <c r="F1177" s="2" t="e">
        <f t="shared" si="54"/>
        <v>#N/A</v>
      </c>
      <c r="G1177" s="2" t="e">
        <f t="shared" si="55"/>
        <v>#N/A</v>
      </c>
      <c r="H1177" s="2" t="e">
        <f t="shared" si="56"/>
        <v>#N/A</v>
      </c>
    </row>
    <row r="1178" spans="6:8" x14ac:dyDescent="0.25">
      <c r="F1178" s="2" t="e">
        <f t="shared" si="54"/>
        <v>#N/A</v>
      </c>
      <c r="G1178" s="2" t="e">
        <f t="shared" si="55"/>
        <v>#N/A</v>
      </c>
      <c r="H1178" s="2" t="e">
        <f t="shared" si="56"/>
        <v>#N/A</v>
      </c>
    </row>
    <row r="1179" spans="6:8" x14ac:dyDescent="0.25">
      <c r="F1179" s="2" t="e">
        <f t="shared" si="54"/>
        <v>#N/A</v>
      </c>
      <c r="G1179" s="2" t="e">
        <f t="shared" si="55"/>
        <v>#N/A</v>
      </c>
      <c r="H1179" s="2" t="e">
        <f t="shared" si="56"/>
        <v>#N/A</v>
      </c>
    </row>
    <row r="1180" spans="6:8" x14ac:dyDescent="0.25">
      <c r="F1180" s="2" t="e">
        <f t="shared" si="54"/>
        <v>#N/A</v>
      </c>
      <c r="G1180" s="2" t="e">
        <f t="shared" si="55"/>
        <v>#N/A</v>
      </c>
      <c r="H1180" s="2" t="e">
        <f t="shared" si="56"/>
        <v>#N/A</v>
      </c>
    </row>
    <row r="1181" spans="6:8" x14ac:dyDescent="0.25">
      <c r="F1181" s="2" t="e">
        <f t="shared" si="54"/>
        <v>#N/A</v>
      </c>
      <c r="G1181" s="2" t="e">
        <f t="shared" si="55"/>
        <v>#N/A</v>
      </c>
      <c r="H1181" s="2" t="e">
        <f t="shared" si="56"/>
        <v>#N/A</v>
      </c>
    </row>
    <row r="1182" spans="6:8" x14ac:dyDescent="0.25">
      <c r="F1182" s="2" t="e">
        <f t="shared" si="54"/>
        <v>#N/A</v>
      </c>
      <c r="G1182" s="2" t="e">
        <f t="shared" si="55"/>
        <v>#N/A</v>
      </c>
      <c r="H1182" s="2" t="e">
        <f t="shared" si="56"/>
        <v>#N/A</v>
      </c>
    </row>
    <row r="1183" spans="6:8" x14ac:dyDescent="0.25">
      <c r="F1183" s="2" t="e">
        <f t="shared" si="54"/>
        <v>#N/A</v>
      </c>
      <c r="G1183" s="2" t="e">
        <f t="shared" si="55"/>
        <v>#N/A</v>
      </c>
      <c r="H1183" s="2" t="e">
        <f t="shared" si="56"/>
        <v>#N/A</v>
      </c>
    </row>
    <row r="1184" spans="6:8" x14ac:dyDescent="0.25">
      <c r="F1184" s="2" t="e">
        <f t="shared" si="54"/>
        <v>#N/A</v>
      </c>
      <c r="G1184" s="2" t="e">
        <f t="shared" si="55"/>
        <v>#N/A</v>
      </c>
      <c r="H1184" s="2" t="e">
        <f t="shared" si="56"/>
        <v>#N/A</v>
      </c>
    </row>
    <row r="1185" spans="6:8" x14ac:dyDescent="0.25">
      <c r="F1185" s="2" t="e">
        <f t="shared" si="54"/>
        <v>#N/A</v>
      </c>
      <c r="G1185" s="2" t="e">
        <f t="shared" si="55"/>
        <v>#N/A</v>
      </c>
      <c r="H1185" s="2" t="e">
        <f t="shared" si="56"/>
        <v>#N/A</v>
      </c>
    </row>
    <row r="1186" spans="6:8" x14ac:dyDescent="0.25">
      <c r="F1186" s="2" t="e">
        <f t="shared" si="54"/>
        <v>#N/A</v>
      </c>
      <c r="G1186" s="2" t="e">
        <f t="shared" si="55"/>
        <v>#N/A</v>
      </c>
      <c r="H1186" s="2" t="e">
        <f t="shared" si="56"/>
        <v>#N/A</v>
      </c>
    </row>
    <row r="1187" spans="6:8" x14ac:dyDescent="0.25">
      <c r="F1187" s="2" t="e">
        <f t="shared" si="54"/>
        <v>#N/A</v>
      </c>
      <c r="G1187" s="2" t="e">
        <f t="shared" si="55"/>
        <v>#N/A</v>
      </c>
      <c r="H1187" s="2" t="e">
        <f t="shared" si="56"/>
        <v>#N/A</v>
      </c>
    </row>
    <row r="1188" spans="6:8" x14ac:dyDescent="0.25">
      <c r="F1188" s="2" t="e">
        <f t="shared" si="54"/>
        <v>#N/A</v>
      </c>
      <c r="G1188" s="2" t="e">
        <f t="shared" si="55"/>
        <v>#N/A</v>
      </c>
      <c r="H1188" s="2" t="e">
        <f t="shared" si="56"/>
        <v>#N/A</v>
      </c>
    </row>
    <row r="1189" spans="6:8" x14ac:dyDescent="0.25">
      <c r="F1189" s="2" t="e">
        <f t="shared" si="54"/>
        <v>#N/A</v>
      </c>
      <c r="G1189" s="2" t="e">
        <f t="shared" si="55"/>
        <v>#N/A</v>
      </c>
      <c r="H1189" s="2" t="e">
        <f t="shared" si="56"/>
        <v>#N/A</v>
      </c>
    </row>
    <row r="1190" spans="6:8" x14ac:dyDescent="0.25">
      <c r="F1190" s="2" t="e">
        <f t="shared" si="54"/>
        <v>#N/A</v>
      </c>
      <c r="G1190" s="2" t="e">
        <f t="shared" si="55"/>
        <v>#N/A</v>
      </c>
      <c r="H1190" s="2" t="e">
        <f t="shared" si="56"/>
        <v>#N/A</v>
      </c>
    </row>
    <row r="1191" spans="6:8" x14ac:dyDescent="0.25">
      <c r="F1191" s="2" t="e">
        <f t="shared" si="54"/>
        <v>#N/A</v>
      </c>
      <c r="G1191" s="2" t="e">
        <f t="shared" si="55"/>
        <v>#N/A</v>
      </c>
      <c r="H1191" s="2" t="e">
        <f t="shared" si="56"/>
        <v>#N/A</v>
      </c>
    </row>
    <row r="1192" spans="6:8" x14ac:dyDescent="0.25">
      <c r="F1192" s="2" t="e">
        <f t="shared" si="54"/>
        <v>#N/A</v>
      </c>
      <c r="G1192" s="2" t="e">
        <f t="shared" si="55"/>
        <v>#N/A</v>
      </c>
      <c r="H1192" s="2" t="e">
        <f t="shared" si="56"/>
        <v>#N/A</v>
      </c>
    </row>
    <row r="1193" spans="6:8" x14ac:dyDescent="0.25">
      <c r="F1193" s="2" t="e">
        <f t="shared" si="54"/>
        <v>#N/A</v>
      </c>
      <c r="G1193" s="2" t="e">
        <f t="shared" si="55"/>
        <v>#N/A</v>
      </c>
      <c r="H1193" s="2" t="e">
        <f t="shared" si="56"/>
        <v>#N/A</v>
      </c>
    </row>
    <row r="1194" spans="6:8" x14ac:dyDescent="0.25">
      <c r="F1194" s="2" t="e">
        <f t="shared" si="54"/>
        <v>#N/A</v>
      </c>
      <c r="G1194" s="2" t="e">
        <f t="shared" si="55"/>
        <v>#N/A</v>
      </c>
      <c r="H1194" s="2" t="e">
        <f t="shared" si="56"/>
        <v>#N/A</v>
      </c>
    </row>
    <row r="1195" spans="6:8" x14ac:dyDescent="0.25">
      <c r="F1195" s="2" t="e">
        <f t="shared" si="54"/>
        <v>#N/A</v>
      </c>
      <c r="G1195" s="2" t="e">
        <f t="shared" si="55"/>
        <v>#N/A</v>
      </c>
      <c r="H1195" s="2" t="e">
        <f t="shared" si="56"/>
        <v>#N/A</v>
      </c>
    </row>
    <row r="1196" spans="6:8" x14ac:dyDescent="0.25">
      <c r="F1196" s="2" t="e">
        <f t="shared" si="54"/>
        <v>#N/A</v>
      </c>
      <c r="G1196" s="2" t="e">
        <f t="shared" si="55"/>
        <v>#N/A</v>
      </c>
      <c r="H1196" s="2" t="e">
        <f t="shared" si="56"/>
        <v>#N/A</v>
      </c>
    </row>
    <row r="1197" spans="6:8" x14ac:dyDescent="0.25">
      <c r="F1197" s="2" t="e">
        <f t="shared" si="54"/>
        <v>#N/A</v>
      </c>
      <c r="G1197" s="2" t="e">
        <f t="shared" si="55"/>
        <v>#N/A</v>
      </c>
      <c r="H1197" s="2" t="e">
        <f t="shared" si="56"/>
        <v>#N/A</v>
      </c>
    </row>
    <row r="1198" spans="6:8" x14ac:dyDescent="0.25">
      <c r="F1198" s="2" t="e">
        <f t="shared" si="54"/>
        <v>#N/A</v>
      </c>
      <c r="G1198" s="2" t="e">
        <f t="shared" si="55"/>
        <v>#N/A</v>
      </c>
      <c r="H1198" s="2" t="e">
        <f t="shared" si="56"/>
        <v>#N/A</v>
      </c>
    </row>
    <row r="1199" spans="6:8" x14ac:dyDescent="0.25">
      <c r="F1199" s="2" t="e">
        <f t="shared" si="54"/>
        <v>#N/A</v>
      </c>
      <c r="G1199" s="2" t="e">
        <f t="shared" si="55"/>
        <v>#N/A</v>
      </c>
      <c r="H1199" s="2" t="e">
        <f t="shared" si="56"/>
        <v>#N/A</v>
      </c>
    </row>
    <row r="1200" spans="6:8" x14ac:dyDescent="0.25">
      <c r="F1200" s="2" t="e">
        <f t="shared" si="54"/>
        <v>#N/A</v>
      </c>
      <c r="G1200" s="2" t="e">
        <f t="shared" si="55"/>
        <v>#N/A</v>
      </c>
      <c r="H1200" s="2" t="e">
        <f t="shared" si="56"/>
        <v>#N/A</v>
      </c>
    </row>
    <row r="1201" spans="6:8" x14ac:dyDescent="0.25">
      <c r="F1201" s="2" t="e">
        <f t="shared" si="54"/>
        <v>#N/A</v>
      </c>
      <c r="G1201" s="2" t="e">
        <f t="shared" si="55"/>
        <v>#N/A</v>
      </c>
      <c r="H1201" s="2" t="e">
        <f t="shared" si="56"/>
        <v>#N/A</v>
      </c>
    </row>
    <row r="1202" spans="6:8" x14ac:dyDescent="0.25">
      <c r="F1202" s="2" t="e">
        <f t="shared" si="54"/>
        <v>#N/A</v>
      </c>
      <c r="G1202" s="2" t="e">
        <f t="shared" si="55"/>
        <v>#N/A</v>
      </c>
      <c r="H1202" s="2" t="e">
        <f t="shared" si="56"/>
        <v>#N/A</v>
      </c>
    </row>
    <row r="1203" spans="6:8" x14ac:dyDescent="0.25">
      <c r="F1203" s="2" t="e">
        <f t="shared" si="54"/>
        <v>#N/A</v>
      </c>
      <c r="G1203" s="2" t="e">
        <f t="shared" si="55"/>
        <v>#N/A</v>
      </c>
      <c r="H1203" s="2" t="e">
        <f t="shared" si="56"/>
        <v>#N/A</v>
      </c>
    </row>
    <row r="1204" spans="6:8" x14ac:dyDescent="0.25">
      <c r="F1204" s="2" t="e">
        <f t="shared" si="54"/>
        <v>#N/A</v>
      </c>
      <c r="G1204" s="2" t="e">
        <f t="shared" si="55"/>
        <v>#N/A</v>
      </c>
      <c r="H1204" s="2" t="e">
        <f t="shared" si="56"/>
        <v>#N/A</v>
      </c>
    </row>
    <row r="1205" spans="6:8" x14ac:dyDescent="0.25">
      <c r="F1205" s="2" t="e">
        <f t="shared" si="54"/>
        <v>#N/A</v>
      </c>
      <c r="G1205" s="2" t="e">
        <f t="shared" si="55"/>
        <v>#N/A</v>
      </c>
      <c r="H1205" s="2" t="e">
        <f t="shared" si="56"/>
        <v>#N/A</v>
      </c>
    </row>
    <row r="1206" spans="6:8" x14ac:dyDescent="0.25">
      <c r="F1206" s="2" t="e">
        <f t="shared" si="54"/>
        <v>#N/A</v>
      </c>
      <c r="G1206" s="2" t="e">
        <f t="shared" si="55"/>
        <v>#N/A</v>
      </c>
      <c r="H1206" s="2" t="e">
        <f t="shared" si="56"/>
        <v>#N/A</v>
      </c>
    </row>
    <row r="1207" spans="6:8" x14ac:dyDescent="0.25">
      <c r="F1207" s="2" t="e">
        <f t="shared" si="54"/>
        <v>#N/A</v>
      </c>
      <c r="G1207" s="2" t="e">
        <f t="shared" si="55"/>
        <v>#N/A</v>
      </c>
      <c r="H1207" s="2" t="e">
        <f t="shared" si="56"/>
        <v>#N/A</v>
      </c>
    </row>
    <row r="1208" spans="6:8" x14ac:dyDescent="0.25">
      <c r="F1208" s="2" t="e">
        <f t="shared" si="54"/>
        <v>#N/A</v>
      </c>
      <c r="G1208" s="2" t="e">
        <f t="shared" si="55"/>
        <v>#N/A</v>
      </c>
      <c r="H1208" s="2" t="e">
        <f t="shared" si="56"/>
        <v>#N/A</v>
      </c>
    </row>
    <row r="1209" spans="6:8" x14ac:dyDescent="0.25">
      <c r="F1209" s="2" t="e">
        <f t="shared" si="54"/>
        <v>#N/A</v>
      </c>
      <c r="G1209" s="2" t="e">
        <f t="shared" si="55"/>
        <v>#N/A</v>
      </c>
      <c r="H1209" s="2" t="e">
        <f t="shared" si="56"/>
        <v>#N/A</v>
      </c>
    </row>
    <row r="1210" spans="6:8" x14ac:dyDescent="0.25">
      <c r="F1210" s="2" t="e">
        <f t="shared" si="54"/>
        <v>#N/A</v>
      </c>
      <c r="G1210" s="2" t="e">
        <f t="shared" si="55"/>
        <v>#N/A</v>
      </c>
      <c r="H1210" s="2" t="e">
        <f t="shared" si="56"/>
        <v>#N/A</v>
      </c>
    </row>
    <row r="1211" spans="6:8" x14ac:dyDescent="0.25">
      <c r="F1211" s="2" t="e">
        <f t="shared" si="54"/>
        <v>#N/A</v>
      </c>
      <c r="G1211" s="2" t="e">
        <f t="shared" si="55"/>
        <v>#N/A</v>
      </c>
      <c r="H1211" s="2" t="e">
        <f t="shared" si="56"/>
        <v>#N/A</v>
      </c>
    </row>
    <row r="1212" spans="6:8" x14ac:dyDescent="0.25">
      <c r="F1212" s="2" t="e">
        <f t="shared" si="54"/>
        <v>#N/A</v>
      </c>
      <c r="G1212" s="2" t="e">
        <f t="shared" si="55"/>
        <v>#N/A</v>
      </c>
      <c r="H1212" s="2" t="e">
        <f t="shared" si="56"/>
        <v>#N/A</v>
      </c>
    </row>
    <row r="1213" spans="6:8" x14ac:dyDescent="0.25">
      <c r="F1213" s="2" t="e">
        <f t="shared" si="54"/>
        <v>#N/A</v>
      </c>
      <c r="G1213" s="2" t="e">
        <f t="shared" si="55"/>
        <v>#N/A</v>
      </c>
      <c r="H1213" s="2" t="e">
        <f t="shared" si="56"/>
        <v>#N/A</v>
      </c>
    </row>
    <row r="1214" spans="6:8" x14ac:dyDescent="0.25">
      <c r="F1214" s="2" t="e">
        <f t="shared" si="54"/>
        <v>#N/A</v>
      </c>
      <c r="G1214" s="2" t="e">
        <f t="shared" si="55"/>
        <v>#N/A</v>
      </c>
      <c r="H1214" s="2" t="e">
        <f t="shared" si="56"/>
        <v>#N/A</v>
      </c>
    </row>
    <row r="1215" spans="6:8" x14ac:dyDescent="0.25">
      <c r="F1215" s="2" t="e">
        <f t="shared" si="54"/>
        <v>#N/A</v>
      </c>
      <c r="G1215" s="2" t="e">
        <f t="shared" si="55"/>
        <v>#N/A</v>
      </c>
      <c r="H1215" s="2" t="e">
        <f t="shared" si="56"/>
        <v>#N/A</v>
      </c>
    </row>
    <row r="1216" spans="6:8" x14ac:dyDescent="0.25">
      <c r="F1216" s="2" t="e">
        <f t="shared" si="54"/>
        <v>#N/A</v>
      </c>
      <c r="G1216" s="2" t="e">
        <f t="shared" si="55"/>
        <v>#N/A</v>
      </c>
      <c r="H1216" s="2" t="e">
        <f t="shared" si="56"/>
        <v>#N/A</v>
      </c>
    </row>
    <row r="1217" spans="6:8" x14ac:dyDescent="0.25">
      <c r="F1217" s="2" t="e">
        <f t="shared" si="54"/>
        <v>#N/A</v>
      </c>
      <c r="G1217" s="2" t="e">
        <f t="shared" si="55"/>
        <v>#N/A</v>
      </c>
      <c r="H1217" s="2" t="e">
        <f t="shared" si="56"/>
        <v>#N/A</v>
      </c>
    </row>
    <row r="1218" spans="6:8" x14ac:dyDescent="0.25">
      <c r="F1218" s="2" t="e">
        <f t="shared" si="54"/>
        <v>#N/A</v>
      </c>
      <c r="G1218" s="2" t="e">
        <f t="shared" si="55"/>
        <v>#N/A</v>
      </c>
      <c r="H1218" s="2" t="e">
        <f t="shared" si="56"/>
        <v>#N/A</v>
      </c>
    </row>
    <row r="1219" spans="6:8" x14ac:dyDescent="0.25">
      <c r="F1219" s="2" t="e">
        <f t="shared" si="54"/>
        <v>#N/A</v>
      </c>
      <c r="G1219" s="2" t="e">
        <f t="shared" si="55"/>
        <v>#N/A</v>
      </c>
      <c r="H1219" s="2" t="e">
        <f t="shared" si="56"/>
        <v>#N/A</v>
      </c>
    </row>
    <row r="1220" spans="6:8" x14ac:dyDescent="0.25">
      <c r="F1220" s="2" t="e">
        <f t="shared" si="54"/>
        <v>#N/A</v>
      </c>
      <c r="G1220" s="2" t="e">
        <f t="shared" si="55"/>
        <v>#N/A</v>
      </c>
      <c r="H1220" s="2" t="e">
        <f t="shared" si="56"/>
        <v>#N/A</v>
      </c>
    </row>
    <row r="1221" spans="6:8" x14ac:dyDescent="0.25">
      <c r="F1221" s="2" t="e">
        <f t="shared" si="54"/>
        <v>#N/A</v>
      </c>
      <c r="G1221" s="2" t="e">
        <f t="shared" si="55"/>
        <v>#N/A</v>
      </c>
      <c r="H1221" s="2" t="e">
        <f t="shared" si="56"/>
        <v>#N/A</v>
      </c>
    </row>
    <row r="1222" spans="6:8" x14ac:dyDescent="0.25">
      <c r="F1222" s="2" t="e">
        <f t="shared" ref="F1222:F1285" si="57">IF(F1221&lt;2,F1221+$D$6,NA())</f>
        <v>#N/A</v>
      </c>
      <c r="G1222" s="2" t="e">
        <f t="shared" ref="G1222:G1285" si="58">IF(ISNA(F1222), NA(),(1+$D$3*$D$6)*G1221+$D$6*$D$4)</f>
        <v>#N/A</v>
      </c>
      <c r="H1222" s="2" t="e">
        <f t="shared" ref="H1222:H1285" si="59">IF(ISNA(G1222),NA(),$D$7*EXP($D$3*F1222)-($D$4/$D$3))</f>
        <v>#N/A</v>
      </c>
    </row>
    <row r="1223" spans="6:8" x14ac:dyDescent="0.25">
      <c r="F1223" s="2" t="e">
        <f t="shared" si="57"/>
        <v>#N/A</v>
      </c>
      <c r="G1223" s="2" t="e">
        <f t="shared" si="58"/>
        <v>#N/A</v>
      </c>
      <c r="H1223" s="2" t="e">
        <f t="shared" si="59"/>
        <v>#N/A</v>
      </c>
    </row>
    <row r="1224" spans="6:8" x14ac:dyDescent="0.25">
      <c r="F1224" s="2" t="e">
        <f t="shared" si="57"/>
        <v>#N/A</v>
      </c>
      <c r="G1224" s="2" t="e">
        <f t="shared" si="58"/>
        <v>#N/A</v>
      </c>
      <c r="H1224" s="2" t="e">
        <f t="shared" si="59"/>
        <v>#N/A</v>
      </c>
    </row>
    <row r="1225" spans="6:8" x14ac:dyDescent="0.25">
      <c r="F1225" s="2" t="e">
        <f t="shared" si="57"/>
        <v>#N/A</v>
      </c>
      <c r="G1225" s="2" t="e">
        <f t="shared" si="58"/>
        <v>#N/A</v>
      </c>
      <c r="H1225" s="2" t="e">
        <f t="shared" si="59"/>
        <v>#N/A</v>
      </c>
    </row>
    <row r="1226" spans="6:8" x14ac:dyDescent="0.25">
      <c r="F1226" s="2" t="e">
        <f t="shared" si="57"/>
        <v>#N/A</v>
      </c>
      <c r="G1226" s="2" t="e">
        <f t="shared" si="58"/>
        <v>#N/A</v>
      </c>
      <c r="H1226" s="2" t="e">
        <f t="shared" si="59"/>
        <v>#N/A</v>
      </c>
    </row>
    <row r="1227" spans="6:8" x14ac:dyDescent="0.25">
      <c r="F1227" s="2" t="e">
        <f t="shared" si="57"/>
        <v>#N/A</v>
      </c>
      <c r="G1227" s="2" t="e">
        <f t="shared" si="58"/>
        <v>#N/A</v>
      </c>
      <c r="H1227" s="2" t="e">
        <f t="shared" si="59"/>
        <v>#N/A</v>
      </c>
    </row>
    <row r="1228" spans="6:8" x14ac:dyDescent="0.25">
      <c r="F1228" s="2" t="e">
        <f t="shared" si="57"/>
        <v>#N/A</v>
      </c>
      <c r="G1228" s="2" t="e">
        <f t="shared" si="58"/>
        <v>#N/A</v>
      </c>
      <c r="H1228" s="2" t="e">
        <f t="shared" si="59"/>
        <v>#N/A</v>
      </c>
    </row>
    <row r="1229" spans="6:8" x14ac:dyDescent="0.25">
      <c r="F1229" s="2" t="e">
        <f t="shared" si="57"/>
        <v>#N/A</v>
      </c>
      <c r="G1229" s="2" t="e">
        <f t="shared" si="58"/>
        <v>#N/A</v>
      </c>
      <c r="H1229" s="2" t="e">
        <f t="shared" si="59"/>
        <v>#N/A</v>
      </c>
    </row>
    <row r="1230" spans="6:8" x14ac:dyDescent="0.25">
      <c r="F1230" s="2" t="e">
        <f t="shared" si="57"/>
        <v>#N/A</v>
      </c>
      <c r="G1230" s="2" t="e">
        <f t="shared" si="58"/>
        <v>#N/A</v>
      </c>
      <c r="H1230" s="2" t="e">
        <f t="shared" si="59"/>
        <v>#N/A</v>
      </c>
    </row>
    <row r="1231" spans="6:8" x14ac:dyDescent="0.25">
      <c r="F1231" s="2" t="e">
        <f t="shared" si="57"/>
        <v>#N/A</v>
      </c>
      <c r="G1231" s="2" t="e">
        <f t="shared" si="58"/>
        <v>#N/A</v>
      </c>
      <c r="H1231" s="2" t="e">
        <f t="shared" si="59"/>
        <v>#N/A</v>
      </c>
    </row>
    <row r="1232" spans="6:8" x14ac:dyDescent="0.25">
      <c r="F1232" s="2" t="e">
        <f t="shared" si="57"/>
        <v>#N/A</v>
      </c>
      <c r="G1232" s="2" t="e">
        <f t="shared" si="58"/>
        <v>#N/A</v>
      </c>
      <c r="H1232" s="2" t="e">
        <f t="shared" si="59"/>
        <v>#N/A</v>
      </c>
    </row>
    <row r="1233" spans="6:8" x14ac:dyDescent="0.25">
      <c r="F1233" s="2" t="e">
        <f t="shared" si="57"/>
        <v>#N/A</v>
      </c>
      <c r="G1233" s="2" t="e">
        <f t="shared" si="58"/>
        <v>#N/A</v>
      </c>
      <c r="H1233" s="2" t="e">
        <f t="shared" si="59"/>
        <v>#N/A</v>
      </c>
    </row>
    <row r="1234" spans="6:8" x14ac:dyDescent="0.25">
      <c r="F1234" s="2" t="e">
        <f t="shared" si="57"/>
        <v>#N/A</v>
      </c>
      <c r="G1234" s="2" t="e">
        <f t="shared" si="58"/>
        <v>#N/A</v>
      </c>
      <c r="H1234" s="2" t="e">
        <f t="shared" si="59"/>
        <v>#N/A</v>
      </c>
    </row>
    <row r="1235" spans="6:8" x14ac:dyDescent="0.25">
      <c r="F1235" s="2" t="e">
        <f t="shared" si="57"/>
        <v>#N/A</v>
      </c>
      <c r="G1235" s="2" t="e">
        <f t="shared" si="58"/>
        <v>#N/A</v>
      </c>
      <c r="H1235" s="2" t="e">
        <f t="shared" si="59"/>
        <v>#N/A</v>
      </c>
    </row>
    <row r="1236" spans="6:8" x14ac:dyDescent="0.25">
      <c r="F1236" s="2" t="e">
        <f t="shared" si="57"/>
        <v>#N/A</v>
      </c>
      <c r="G1236" s="2" t="e">
        <f t="shared" si="58"/>
        <v>#N/A</v>
      </c>
      <c r="H1236" s="2" t="e">
        <f t="shared" si="59"/>
        <v>#N/A</v>
      </c>
    </row>
    <row r="1237" spans="6:8" x14ac:dyDescent="0.25">
      <c r="F1237" s="2" t="e">
        <f t="shared" si="57"/>
        <v>#N/A</v>
      </c>
      <c r="G1237" s="2" t="e">
        <f t="shared" si="58"/>
        <v>#N/A</v>
      </c>
      <c r="H1237" s="2" t="e">
        <f t="shared" si="59"/>
        <v>#N/A</v>
      </c>
    </row>
    <row r="1238" spans="6:8" x14ac:dyDescent="0.25">
      <c r="F1238" s="2" t="e">
        <f t="shared" si="57"/>
        <v>#N/A</v>
      </c>
      <c r="G1238" s="2" t="e">
        <f t="shared" si="58"/>
        <v>#N/A</v>
      </c>
      <c r="H1238" s="2" t="e">
        <f t="shared" si="59"/>
        <v>#N/A</v>
      </c>
    </row>
    <row r="1239" spans="6:8" x14ac:dyDescent="0.25">
      <c r="F1239" s="2" t="e">
        <f t="shared" si="57"/>
        <v>#N/A</v>
      </c>
      <c r="G1239" s="2" t="e">
        <f t="shared" si="58"/>
        <v>#N/A</v>
      </c>
      <c r="H1239" s="2" t="e">
        <f t="shared" si="59"/>
        <v>#N/A</v>
      </c>
    </row>
    <row r="1240" spans="6:8" x14ac:dyDescent="0.25">
      <c r="F1240" s="2" t="e">
        <f t="shared" si="57"/>
        <v>#N/A</v>
      </c>
      <c r="G1240" s="2" t="e">
        <f t="shared" si="58"/>
        <v>#N/A</v>
      </c>
      <c r="H1240" s="2" t="e">
        <f t="shared" si="59"/>
        <v>#N/A</v>
      </c>
    </row>
    <row r="1241" spans="6:8" x14ac:dyDescent="0.25">
      <c r="F1241" s="2" t="e">
        <f t="shared" si="57"/>
        <v>#N/A</v>
      </c>
      <c r="G1241" s="2" t="e">
        <f t="shared" si="58"/>
        <v>#N/A</v>
      </c>
      <c r="H1241" s="2" t="e">
        <f t="shared" si="59"/>
        <v>#N/A</v>
      </c>
    </row>
    <row r="1242" spans="6:8" x14ac:dyDescent="0.25">
      <c r="F1242" s="2" t="e">
        <f t="shared" si="57"/>
        <v>#N/A</v>
      </c>
      <c r="G1242" s="2" t="e">
        <f t="shared" si="58"/>
        <v>#N/A</v>
      </c>
      <c r="H1242" s="2" t="e">
        <f t="shared" si="59"/>
        <v>#N/A</v>
      </c>
    </row>
    <row r="1243" spans="6:8" x14ac:dyDescent="0.25">
      <c r="F1243" s="2" t="e">
        <f t="shared" si="57"/>
        <v>#N/A</v>
      </c>
      <c r="G1243" s="2" t="e">
        <f t="shared" si="58"/>
        <v>#N/A</v>
      </c>
      <c r="H1243" s="2" t="e">
        <f t="shared" si="59"/>
        <v>#N/A</v>
      </c>
    </row>
    <row r="1244" spans="6:8" x14ac:dyDescent="0.25">
      <c r="F1244" s="2" t="e">
        <f t="shared" si="57"/>
        <v>#N/A</v>
      </c>
      <c r="G1244" s="2" t="e">
        <f t="shared" si="58"/>
        <v>#N/A</v>
      </c>
      <c r="H1244" s="2" t="e">
        <f t="shared" si="59"/>
        <v>#N/A</v>
      </c>
    </row>
    <row r="1245" spans="6:8" x14ac:dyDescent="0.25">
      <c r="F1245" s="2" t="e">
        <f t="shared" si="57"/>
        <v>#N/A</v>
      </c>
      <c r="G1245" s="2" t="e">
        <f t="shared" si="58"/>
        <v>#N/A</v>
      </c>
      <c r="H1245" s="2" t="e">
        <f t="shared" si="59"/>
        <v>#N/A</v>
      </c>
    </row>
    <row r="1246" spans="6:8" x14ac:dyDescent="0.25">
      <c r="F1246" s="2" t="e">
        <f t="shared" si="57"/>
        <v>#N/A</v>
      </c>
      <c r="G1246" s="2" t="e">
        <f t="shared" si="58"/>
        <v>#N/A</v>
      </c>
      <c r="H1246" s="2" t="e">
        <f t="shared" si="59"/>
        <v>#N/A</v>
      </c>
    </row>
    <row r="1247" spans="6:8" x14ac:dyDescent="0.25">
      <c r="F1247" s="2" t="e">
        <f t="shared" si="57"/>
        <v>#N/A</v>
      </c>
      <c r="G1247" s="2" t="e">
        <f t="shared" si="58"/>
        <v>#N/A</v>
      </c>
      <c r="H1247" s="2" t="e">
        <f t="shared" si="59"/>
        <v>#N/A</v>
      </c>
    </row>
    <row r="1248" spans="6:8" x14ac:dyDescent="0.25">
      <c r="F1248" s="2" t="e">
        <f t="shared" si="57"/>
        <v>#N/A</v>
      </c>
      <c r="G1248" s="2" t="e">
        <f t="shared" si="58"/>
        <v>#N/A</v>
      </c>
      <c r="H1248" s="2" t="e">
        <f t="shared" si="59"/>
        <v>#N/A</v>
      </c>
    </row>
    <row r="1249" spans="6:8" x14ac:dyDescent="0.25">
      <c r="F1249" s="2" t="e">
        <f t="shared" si="57"/>
        <v>#N/A</v>
      </c>
      <c r="G1249" s="2" t="e">
        <f t="shared" si="58"/>
        <v>#N/A</v>
      </c>
      <c r="H1249" s="2" t="e">
        <f t="shared" si="59"/>
        <v>#N/A</v>
      </c>
    </row>
    <row r="1250" spans="6:8" x14ac:dyDescent="0.25">
      <c r="F1250" s="2" t="e">
        <f t="shared" si="57"/>
        <v>#N/A</v>
      </c>
      <c r="G1250" s="2" t="e">
        <f t="shared" si="58"/>
        <v>#N/A</v>
      </c>
      <c r="H1250" s="2" t="e">
        <f t="shared" si="59"/>
        <v>#N/A</v>
      </c>
    </row>
    <row r="1251" spans="6:8" x14ac:dyDescent="0.25">
      <c r="F1251" s="2" t="e">
        <f t="shared" si="57"/>
        <v>#N/A</v>
      </c>
      <c r="G1251" s="2" t="e">
        <f t="shared" si="58"/>
        <v>#N/A</v>
      </c>
      <c r="H1251" s="2" t="e">
        <f t="shared" si="59"/>
        <v>#N/A</v>
      </c>
    </row>
    <row r="1252" spans="6:8" x14ac:dyDescent="0.25">
      <c r="F1252" s="2" t="e">
        <f t="shared" si="57"/>
        <v>#N/A</v>
      </c>
      <c r="G1252" s="2" t="e">
        <f t="shared" si="58"/>
        <v>#N/A</v>
      </c>
      <c r="H1252" s="2" t="e">
        <f t="shared" si="59"/>
        <v>#N/A</v>
      </c>
    </row>
    <row r="1253" spans="6:8" x14ac:dyDescent="0.25">
      <c r="F1253" s="2" t="e">
        <f t="shared" si="57"/>
        <v>#N/A</v>
      </c>
      <c r="G1253" s="2" t="e">
        <f t="shared" si="58"/>
        <v>#N/A</v>
      </c>
      <c r="H1253" s="2" t="e">
        <f t="shared" si="59"/>
        <v>#N/A</v>
      </c>
    </row>
    <row r="1254" spans="6:8" x14ac:dyDescent="0.25">
      <c r="F1254" s="2" t="e">
        <f t="shared" si="57"/>
        <v>#N/A</v>
      </c>
      <c r="G1254" s="2" t="e">
        <f t="shared" si="58"/>
        <v>#N/A</v>
      </c>
      <c r="H1254" s="2" t="e">
        <f t="shared" si="59"/>
        <v>#N/A</v>
      </c>
    </row>
    <row r="1255" spans="6:8" x14ac:dyDescent="0.25">
      <c r="F1255" s="2" t="e">
        <f t="shared" si="57"/>
        <v>#N/A</v>
      </c>
      <c r="G1255" s="2" t="e">
        <f t="shared" si="58"/>
        <v>#N/A</v>
      </c>
      <c r="H1255" s="2" t="e">
        <f t="shared" si="59"/>
        <v>#N/A</v>
      </c>
    </row>
    <row r="1256" spans="6:8" x14ac:dyDescent="0.25">
      <c r="F1256" s="2" t="e">
        <f t="shared" si="57"/>
        <v>#N/A</v>
      </c>
      <c r="G1256" s="2" t="e">
        <f t="shared" si="58"/>
        <v>#N/A</v>
      </c>
      <c r="H1256" s="2" t="e">
        <f t="shared" si="59"/>
        <v>#N/A</v>
      </c>
    </row>
    <row r="1257" spans="6:8" x14ac:dyDescent="0.25">
      <c r="F1257" s="2" t="e">
        <f t="shared" si="57"/>
        <v>#N/A</v>
      </c>
      <c r="G1257" s="2" t="e">
        <f t="shared" si="58"/>
        <v>#N/A</v>
      </c>
      <c r="H1257" s="2" t="e">
        <f t="shared" si="59"/>
        <v>#N/A</v>
      </c>
    </row>
    <row r="1258" spans="6:8" x14ac:dyDescent="0.25">
      <c r="F1258" s="2" t="e">
        <f t="shared" si="57"/>
        <v>#N/A</v>
      </c>
      <c r="G1258" s="2" t="e">
        <f t="shared" si="58"/>
        <v>#N/A</v>
      </c>
      <c r="H1258" s="2" t="e">
        <f t="shared" si="59"/>
        <v>#N/A</v>
      </c>
    </row>
    <row r="1259" spans="6:8" x14ac:dyDescent="0.25">
      <c r="F1259" s="2" t="e">
        <f t="shared" si="57"/>
        <v>#N/A</v>
      </c>
      <c r="G1259" s="2" t="e">
        <f t="shared" si="58"/>
        <v>#N/A</v>
      </c>
      <c r="H1259" s="2" t="e">
        <f t="shared" si="59"/>
        <v>#N/A</v>
      </c>
    </row>
    <row r="1260" spans="6:8" x14ac:dyDescent="0.25">
      <c r="F1260" s="2" t="e">
        <f t="shared" si="57"/>
        <v>#N/A</v>
      </c>
      <c r="G1260" s="2" t="e">
        <f t="shared" si="58"/>
        <v>#N/A</v>
      </c>
      <c r="H1260" s="2" t="e">
        <f t="shared" si="59"/>
        <v>#N/A</v>
      </c>
    </row>
    <row r="1261" spans="6:8" x14ac:dyDescent="0.25">
      <c r="F1261" s="2" t="e">
        <f t="shared" si="57"/>
        <v>#N/A</v>
      </c>
      <c r="G1261" s="2" t="e">
        <f t="shared" si="58"/>
        <v>#N/A</v>
      </c>
      <c r="H1261" s="2" t="e">
        <f t="shared" si="59"/>
        <v>#N/A</v>
      </c>
    </row>
    <row r="1262" spans="6:8" x14ac:dyDescent="0.25">
      <c r="F1262" s="2" t="e">
        <f t="shared" si="57"/>
        <v>#N/A</v>
      </c>
      <c r="G1262" s="2" t="e">
        <f t="shared" si="58"/>
        <v>#N/A</v>
      </c>
      <c r="H1262" s="2" t="e">
        <f t="shared" si="59"/>
        <v>#N/A</v>
      </c>
    </row>
    <row r="1263" spans="6:8" x14ac:dyDescent="0.25">
      <c r="F1263" s="2" t="e">
        <f t="shared" si="57"/>
        <v>#N/A</v>
      </c>
      <c r="G1263" s="2" t="e">
        <f t="shared" si="58"/>
        <v>#N/A</v>
      </c>
      <c r="H1263" s="2" t="e">
        <f t="shared" si="59"/>
        <v>#N/A</v>
      </c>
    </row>
    <row r="1264" spans="6:8" x14ac:dyDescent="0.25">
      <c r="F1264" s="2" t="e">
        <f t="shared" si="57"/>
        <v>#N/A</v>
      </c>
      <c r="G1264" s="2" t="e">
        <f t="shared" si="58"/>
        <v>#N/A</v>
      </c>
      <c r="H1264" s="2" t="e">
        <f t="shared" si="59"/>
        <v>#N/A</v>
      </c>
    </row>
    <row r="1265" spans="6:8" x14ac:dyDescent="0.25">
      <c r="F1265" s="2" t="e">
        <f t="shared" si="57"/>
        <v>#N/A</v>
      </c>
      <c r="G1265" s="2" t="e">
        <f t="shared" si="58"/>
        <v>#N/A</v>
      </c>
      <c r="H1265" s="2" t="e">
        <f t="shared" si="59"/>
        <v>#N/A</v>
      </c>
    </row>
    <row r="1266" spans="6:8" x14ac:dyDescent="0.25">
      <c r="F1266" s="2" t="e">
        <f t="shared" si="57"/>
        <v>#N/A</v>
      </c>
      <c r="G1266" s="2" t="e">
        <f t="shared" si="58"/>
        <v>#N/A</v>
      </c>
      <c r="H1266" s="2" t="e">
        <f t="shared" si="59"/>
        <v>#N/A</v>
      </c>
    </row>
    <row r="1267" spans="6:8" x14ac:dyDescent="0.25">
      <c r="F1267" s="2" t="e">
        <f t="shared" si="57"/>
        <v>#N/A</v>
      </c>
      <c r="G1267" s="2" t="e">
        <f t="shared" si="58"/>
        <v>#N/A</v>
      </c>
      <c r="H1267" s="2" t="e">
        <f t="shared" si="59"/>
        <v>#N/A</v>
      </c>
    </row>
    <row r="1268" spans="6:8" x14ac:dyDescent="0.25">
      <c r="F1268" s="2" t="e">
        <f t="shared" si="57"/>
        <v>#N/A</v>
      </c>
      <c r="G1268" s="2" t="e">
        <f t="shared" si="58"/>
        <v>#N/A</v>
      </c>
      <c r="H1268" s="2" t="e">
        <f t="shared" si="59"/>
        <v>#N/A</v>
      </c>
    </row>
    <row r="1269" spans="6:8" x14ac:dyDescent="0.25">
      <c r="F1269" s="2" t="e">
        <f t="shared" si="57"/>
        <v>#N/A</v>
      </c>
      <c r="G1269" s="2" t="e">
        <f t="shared" si="58"/>
        <v>#N/A</v>
      </c>
      <c r="H1269" s="2" t="e">
        <f t="shared" si="59"/>
        <v>#N/A</v>
      </c>
    </row>
    <row r="1270" spans="6:8" x14ac:dyDescent="0.25">
      <c r="F1270" s="2" t="e">
        <f t="shared" si="57"/>
        <v>#N/A</v>
      </c>
      <c r="G1270" s="2" t="e">
        <f t="shared" si="58"/>
        <v>#N/A</v>
      </c>
      <c r="H1270" s="2" t="e">
        <f t="shared" si="59"/>
        <v>#N/A</v>
      </c>
    </row>
    <row r="1271" spans="6:8" x14ac:dyDescent="0.25">
      <c r="F1271" s="2" t="e">
        <f t="shared" si="57"/>
        <v>#N/A</v>
      </c>
      <c r="G1271" s="2" t="e">
        <f t="shared" si="58"/>
        <v>#N/A</v>
      </c>
      <c r="H1271" s="2" t="e">
        <f t="shared" si="59"/>
        <v>#N/A</v>
      </c>
    </row>
    <row r="1272" spans="6:8" x14ac:dyDescent="0.25">
      <c r="F1272" s="2" t="e">
        <f t="shared" si="57"/>
        <v>#N/A</v>
      </c>
      <c r="G1272" s="2" t="e">
        <f t="shared" si="58"/>
        <v>#N/A</v>
      </c>
      <c r="H1272" s="2" t="e">
        <f t="shared" si="59"/>
        <v>#N/A</v>
      </c>
    </row>
    <row r="1273" spans="6:8" x14ac:dyDescent="0.25">
      <c r="F1273" s="2" t="e">
        <f t="shared" si="57"/>
        <v>#N/A</v>
      </c>
      <c r="G1273" s="2" t="e">
        <f t="shared" si="58"/>
        <v>#N/A</v>
      </c>
      <c r="H1273" s="2" t="e">
        <f t="shared" si="59"/>
        <v>#N/A</v>
      </c>
    </row>
    <row r="1274" spans="6:8" x14ac:dyDescent="0.25">
      <c r="F1274" s="2" t="e">
        <f t="shared" si="57"/>
        <v>#N/A</v>
      </c>
      <c r="G1274" s="2" t="e">
        <f t="shared" si="58"/>
        <v>#N/A</v>
      </c>
      <c r="H1274" s="2" t="e">
        <f t="shared" si="59"/>
        <v>#N/A</v>
      </c>
    </row>
    <row r="1275" spans="6:8" x14ac:dyDescent="0.25">
      <c r="F1275" s="2" t="e">
        <f t="shared" si="57"/>
        <v>#N/A</v>
      </c>
      <c r="G1275" s="2" t="e">
        <f t="shared" si="58"/>
        <v>#N/A</v>
      </c>
      <c r="H1275" s="2" t="e">
        <f t="shared" si="59"/>
        <v>#N/A</v>
      </c>
    </row>
    <row r="1276" spans="6:8" x14ac:dyDescent="0.25">
      <c r="F1276" s="2" t="e">
        <f t="shared" si="57"/>
        <v>#N/A</v>
      </c>
      <c r="G1276" s="2" t="e">
        <f t="shared" si="58"/>
        <v>#N/A</v>
      </c>
      <c r="H1276" s="2" t="e">
        <f t="shared" si="59"/>
        <v>#N/A</v>
      </c>
    </row>
    <row r="1277" spans="6:8" x14ac:dyDescent="0.25">
      <c r="F1277" s="2" t="e">
        <f t="shared" si="57"/>
        <v>#N/A</v>
      </c>
      <c r="G1277" s="2" t="e">
        <f t="shared" si="58"/>
        <v>#N/A</v>
      </c>
      <c r="H1277" s="2" t="e">
        <f t="shared" si="59"/>
        <v>#N/A</v>
      </c>
    </row>
    <row r="1278" spans="6:8" x14ac:dyDescent="0.25">
      <c r="F1278" s="2" t="e">
        <f t="shared" si="57"/>
        <v>#N/A</v>
      </c>
      <c r="G1278" s="2" t="e">
        <f t="shared" si="58"/>
        <v>#N/A</v>
      </c>
      <c r="H1278" s="2" t="e">
        <f t="shared" si="59"/>
        <v>#N/A</v>
      </c>
    </row>
    <row r="1279" spans="6:8" x14ac:dyDescent="0.25">
      <c r="F1279" s="2" t="e">
        <f t="shared" si="57"/>
        <v>#N/A</v>
      </c>
      <c r="G1279" s="2" t="e">
        <f t="shared" si="58"/>
        <v>#N/A</v>
      </c>
      <c r="H1279" s="2" t="e">
        <f t="shared" si="59"/>
        <v>#N/A</v>
      </c>
    </row>
    <row r="1280" spans="6:8" x14ac:dyDescent="0.25">
      <c r="F1280" s="2" t="e">
        <f t="shared" si="57"/>
        <v>#N/A</v>
      </c>
      <c r="G1280" s="2" t="e">
        <f t="shared" si="58"/>
        <v>#N/A</v>
      </c>
      <c r="H1280" s="2" t="e">
        <f t="shared" si="59"/>
        <v>#N/A</v>
      </c>
    </row>
    <row r="1281" spans="6:8" x14ac:dyDescent="0.25">
      <c r="F1281" s="2" t="e">
        <f t="shared" si="57"/>
        <v>#N/A</v>
      </c>
      <c r="G1281" s="2" t="e">
        <f t="shared" si="58"/>
        <v>#N/A</v>
      </c>
      <c r="H1281" s="2" t="e">
        <f t="shared" si="59"/>
        <v>#N/A</v>
      </c>
    </row>
    <row r="1282" spans="6:8" x14ac:dyDescent="0.25">
      <c r="F1282" s="2" t="e">
        <f t="shared" si="57"/>
        <v>#N/A</v>
      </c>
      <c r="G1282" s="2" t="e">
        <f t="shared" si="58"/>
        <v>#N/A</v>
      </c>
      <c r="H1282" s="2" t="e">
        <f t="shared" si="59"/>
        <v>#N/A</v>
      </c>
    </row>
    <row r="1283" spans="6:8" x14ac:dyDescent="0.25">
      <c r="F1283" s="2" t="e">
        <f t="shared" si="57"/>
        <v>#N/A</v>
      </c>
      <c r="G1283" s="2" t="e">
        <f t="shared" si="58"/>
        <v>#N/A</v>
      </c>
      <c r="H1283" s="2" t="e">
        <f t="shared" si="59"/>
        <v>#N/A</v>
      </c>
    </row>
    <row r="1284" spans="6:8" x14ac:dyDescent="0.25">
      <c r="F1284" s="2" t="e">
        <f t="shared" si="57"/>
        <v>#N/A</v>
      </c>
      <c r="G1284" s="2" t="e">
        <f t="shared" si="58"/>
        <v>#N/A</v>
      </c>
      <c r="H1284" s="2" t="e">
        <f t="shared" si="59"/>
        <v>#N/A</v>
      </c>
    </row>
    <row r="1285" spans="6:8" x14ac:dyDescent="0.25">
      <c r="F1285" s="2" t="e">
        <f t="shared" si="57"/>
        <v>#N/A</v>
      </c>
      <c r="G1285" s="2" t="e">
        <f t="shared" si="58"/>
        <v>#N/A</v>
      </c>
      <c r="H1285" s="2" t="e">
        <f t="shared" si="59"/>
        <v>#N/A</v>
      </c>
    </row>
    <row r="1286" spans="6:8" x14ac:dyDescent="0.25">
      <c r="F1286" s="2" t="e">
        <f t="shared" ref="F1286:F1349" si="60">IF(F1285&lt;2,F1285+$D$6,NA())</f>
        <v>#N/A</v>
      </c>
      <c r="G1286" s="2" t="e">
        <f t="shared" ref="G1286:G1349" si="61">IF(ISNA(F1286), NA(),(1+$D$3*$D$6)*G1285+$D$6*$D$4)</f>
        <v>#N/A</v>
      </c>
      <c r="H1286" s="2" t="e">
        <f t="shared" ref="H1286:H1349" si="62">IF(ISNA(G1286),NA(),$D$7*EXP($D$3*F1286)-($D$4/$D$3))</f>
        <v>#N/A</v>
      </c>
    </row>
    <row r="1287" spans="6:8" x14ac:dyDescent="0.25">
      <c r="F1287" s="2" t="e">
        <f t="shared" si="60"/>
        <v>#N/A</v>
      </c>
      <c r="G1287" s="2" t="e">
        <f t="shared" si="61"/>
        <v>#N/A</v>
      </c>
      <c r="H1287" s="2" t="e">
        <f t="shared" si="62"/>
        <v>#N/A</v>
      </c>
    </row>
    <row r="1288" spans="6:8" x14ac:dyDescent="0.25">
      <c r="F1288" s="2" t="e">
        <f t="shared" si="60"/>
        <v>#N/A</v>
      </c>
      <c r="G1288" s="2" t="e">
        <f t="shared" si="61"/>
        <v>#N/A</v>
      </c>
      <c r="H1288" s="2" t="e">
        <f t="shared" si="62"/>
        <v>#N/A</v>
      </c>
    </row>
    <row r="1289" spans="6:8" x14ac:dyDescent="0.25">
      <c r="F1289" s="2" t="e">
        <f t="shared" si="60"/>
        <v>#N/A</v>
      </c>
      <c r="G1289" s="2" t="e">
        <f t="shared" si="61"/>
        <v>#N/A</v>
      </c>
      <c r="H1289" s="2" t="e">
        <f t="shared" si="62"/>
        <v>#N/A</v>
      </c>
    </row>
    <row r="1290" spans="6:8" x14ac:dyDescent="0.25">
      <c r="F1290" s="2" t="e">
        <f t="shared" si="60"/>
        <v>#N/A</v>
      </c>
      <c r="G1290" s="2" t="e">
        <f t="shared" si="61"/>
        <v>#N/A</v>
      </c>
      <c r="H1290" s="2" t="e">
        <f t="shared" si="62"/>
        <v>#N/A</v>
      </c>
    </row>
    <row r="1291" spans="6:8" x14ac:dyDescent="0.25">
      <c r="F1291" s="2" t="e">
        <f t="shared" si="60"/>
        <v>#N/A</v>
      </c>
      <c r="G1291" s="2" t="e">
        <f t="shared" si="61"/>
        <v>#N/A</v>
      </c>
      <c r="H1291" s="2" t="e">
        <f t="shared" si="62"/>
        <v>#N/A</v>
      </c>
    </row>
    <row r="1292" spans="6:8" x14ac:dyDescent="0.25">
      <c r="F1292" s="2" t="e">
        <f t="shared" si="60"/>
        <v>#N/A</v>
      </c>
      <c r="G1292" s="2" t="e">
        <f t="shared" si="61"/>
        <v>#N/A</v>
      </c>
      <c r="H1292" s="2" t="e">
        <f t="shared" si="62"/>
        <v>#N/A</v>
      </c>
    </row>
    <row r="1293" spans="6:8" x14ac:dyDescent="0.25">
      <c r="F1293" s="2" t="e">
        <f t="shared" si="60"/>
        <v>#N/A</v>
      </c>
      <c r="G1293" s="2" t="e">
        <f t="shared" si="61"/>
        <v>#N/A</v>
      </c>
      <c r="H1293" s="2" t="e">
        <f t="shared" si="62"/>
        <v>#N/A</v>
      </c>
    </row>
    <row r="1294" spans="6:8" x14ac:dyDescent="0.25">
      <c r="F1294" s="2" t="e">
        <f t="shared" si="60"/>
        <v>#N/A</v>
      </c>
      <c r="G1294" s="2" t="e">
        <f t="shared" si="61"/>
        <v>#N/A</v>
      </c>
      <c r="H1294" s="2" t="e">
        <f t="shared" si="62"/>
        <v>#N/A</v>
      </c>
    </row>
    <row r="1295" spans="6:8" x14ac:dyDescent="0.25">
      <c r="F1295" s="2" t="e">
        <f t="shared" si="60"/>
        <v>#N/A</v>
      </c>
      <c r="G1295" s="2" t="e">
        <f t="shared" si="61"/>
        <v>#N/A</v>
      </c>
      <c r="H1295" s="2" t="e">
        <f t="shared" si="62"/>
        <v>#N/A</v>
      </c>
    </row>
    <row r="1296" spans="6:8" x14ac:dyDescent="0.25">
      <c r="F1296" s="2" t="e">
        <f t="shared" si="60"/>
        <v>#N/A</v>
      </c>
      <c r="G1296" s="2" t="e">
        <f t="shared" si="61"/>
        <v>#N/A</v>
      </c>
      <c r="H1296" s="2" t="e">
        <f t="shared" si="62"/>
        <v>#N/A</v>
      </c>
    </row>
    <row r="1297" spans="6:8" x14ac:dyDescent="0.25">
      <c r="F1297" s="2" t="e">
        <f t="shared" si="60"/>
        <v>#N/A</v>
      </c>
      <c r="G1297" s="2" t="e">
        <f t="shared" si="61"/>
        <v>#N/A</v>
      </c>
      <c r="H1297" s="2" t="e">
        <f t="shared" si="62"/>
        <v>#N/A</v>
      </c>
    </row>
    <row r="1298" spans="6:8" x14ac:dyDescent="0.25">
      <c r="F1298" s="2" t="e">
        <f t="shared" si="60"/>
        <v>#N/A</v>
      </c>
      <c r="G1298" s="2" t="e">
        <f t="shared" si="61"/>
        <v>#N/A</v>
      </c>
      <c r="H1298" s="2" t="e">
        <f t="shared" si="62"/>
        <v>#N/A</v>
      </c>
    </row>
    <row r="1299" spans="6:8" x14ac:dyDescent="0.25">
      <c r="F1299" s="2" t="e">
        <f t="shared" si="60"/>
        <v>#N/A</v>
      </c>
      <c r="G1299" s="2" t="e">
        <f t="shared" si="61"/>
        <v>#N/A</v>
      </c>
      <c r="H1299" s="2" t="e">
        <f t="shared" si="62"/>
        <v>#N/A</v>
      </c>
    </row>
    <row r="1300" spans="6:8" x14ac:dyDescent="0.25">
      <c r="F1300" s="2" t="e">
        <f t="shared" si="60"/>
        <v>#N/A</v>
      </c>
      <c r="G1300" s="2" t="e">
        <f t="shared" si="61"/>
        <v>#N/A</v>
      </c>
      <c r="H1300" s="2" t="e">
        <f t="shared" si="62"/>
        <v>#N/A</v>
      </c>
    </row>
    <row r="1301" spans="6:8" x14ac:dyDescent="0.25">
      <c r="F1301" s="2" t="e">
        <f t="shared" si="60"/>
        <v>#N/A</v>
      </c>
      <c r="G1301" s="2" t="e">
        <f t="shared" si="61"/>
        <v>#N/A</v>
      </c>
      <c r="H1301" s="2" t="e">
        <f t="shared" si="62"/>
        <v>#N/A</v>
      </c>
    </row>
    <row r="1302" spans="6:8" x14ac:dyDescent="0.25">
      <c r="F1302" s="2" t="e">
        <f t="shared" si="60"/>
        <v>#N/A</v>
      </c>
      <c r="G1302" s="2" t="e">
        <f t="shared" si="61"/>
        <v>#N/A</v>
      </c>
      <c r="H1302" s="2" t="e">
        <f t="shared" si="62"/>
        <v>#N/A</v>
      </c>
    </row>
    <row r="1303" spans="6:8" x14ac:dyDescent="0.25">
      <c r="F1303" s="2" t="e">
        <f t="shared" si="60"/>
        <v>#N/A</v>
      </c>
      <c r="G1303" s="2" t="e">
        <f t="shared" si="61"/>
        <v>#N/A</v>
      </c>
      <c r="H1303" s="2" t="e">
        <f t="shared" si="62"/>
        <v>#N/A</v>
      </c>
    </row>
    <row r="1304" spans="6:8" x14ac:dyDescent="0.25">
      <c r="F1304" s="2" t="e">
        <f t="shared" si="60"/>
        <v>#N/A</v>
      </c>
      <c r="G1304" s="2" t="e">
        <f t="shared" si="61"/>
        <v>#N/A</v>
      </c>
      <c r="H1304" s="2" t="e">
        <f t="shared" si="62"/>
        <v>#N/A</v>
      </c>
    </row>
    <row r="1305" spans="6:8" x14ac:dyDescent="0.25">
      <c r="F1305" s="2" t="e">
        <f t="shared" si="60"/>
        <v>#N/A</v>
      </c>
      <c r="G1305" s="2" t="e">
        <f t="shared" si="61"/>
        <v>#N/A</v>
      </c>
      <c r="H1305" s="2" t="e">
        <f t="shared" si="62"/>
        <v>#N/A</v>
      </c>
    </row>
    <row r="1306" spans="6:8" x14ac:dyDescent="0.25">
      <c r="F1306" s="2" t="e">
        <f t="shared" si="60"/>
        <v>#N/A</v>
      </c>
      <c r="G1306" s="2" t="e">
        <f t="shared" si="61"/>
        <v>#N/A</v>
      </c>
      <c r="H1306" s="2" t="e">
        <f t="shared" si="62"/>
        <v>#N/A</v>
      </c>
    </row>
    <row r="1307" spans="6:8" x14ac:dyDescent="0.25">
      <c r="F1307" s="2" t="e">
        <f t="shared" si="60"/>
        <v>#N/A</v>
      </c>
      <c r="G1307" s="2" t="e">
        <f t="shared" si="61"/>
        <v>#N/A</v>
      </c>
      <c r="H1307" s="2" t="e">
        <f t="shared" si="62"/>
        <v>#N/A</v>
      </c>
    </row>
    <row r="1308" spans="6:8" x14ac:dyDescent="0.25">
      <c r="F1308" s="2" t="e">
        <f t="shared" si="60"/>
        <v>#N/A</v>
      </c>
      <c r="G1308" s="2" t="e">
        <f t="shared" si="61"/>
        <v>#N/A</v>
      </c>
      <c r="H1308" s="2" t="e">
        <f t="shared" si="62"/>
        <v>#N/A</v>
      </c>
    </row>
    <row r="1309" spans="6:8" x14ac:dyDescent="0.25">
      <c r="F1309" s="2" t="e">
        <f t="shared" si="60"/>
        <v>#N/A</v>
      </c>
      <c r="G1309" s="2" t="e">
        <f t="shared" si="61"/>
        <v>#N/A</v>
      </c>
      <c r="H1309" s="2" t="e">
        <f t="shared" si="62"/>
        <v>#N/A</v>
      </c>
    </row>
    <row r="1310" spans="6:8" x14ac:dyDescent="0.25">
      <c r="F1310" s="2" t="e">
        <f t="shared" si="60"/>
        <v>#N/A</v>
      </c>
      <c r="G1310" s="2" t="e">
        <f t="shared" si="61"/>
        <v>#N/A</v>
      </c>
      <c r="H1310" s="2" t="e">
        <f t="shared" si="62"/>
        <v>#N/A</v>
      </c>
    </row>
    <row r="1311" spans="6:8" x14ac:dyDescent="0.25">
      <c r="F1311" s="2" t="e">
        <f t="shared" si="60"/>
        <v>#N/A</v>
      </c>
      <c r="G1311" s="2" t="e">
        <f t="shared" si="61"/>
        <v>#N/A</v>
      </c>
      <c r="H1311" s="2" t="e">
        <f t="shared" si="62"/>
        <v>#N/A</v>
      </c>
    </row>
    <row r="1312" spans="6:8" x14ac:dyDescent="0.25">
      <c r="F1312" s="2" t="e">
        <f t="shared" si="60"/>
        <v>#N/A</v>
      </c>
      <c r="G1312" s="2" t="e">
        <f t="shared" si="61"/>
        <v>#N/A</v>
      </c>
      <c r="H1312" s="2" t="e">
        <f t="shared" si="62"/>
        <v>#N/A</v>
      </c>
    </row>
    <row r="1313" spans="6:8" x14ac:dyDescent="0.25">
      <c r="F1313" s="2" t="e">
        <f t="shared" si="60"/>
        <v>#N/A</v>
      </c>
      <c r="G1313" s="2" t="e">
        <f t="shared" si="61"/>
        <v>#N/A</v>
      </c>
      <c r="H1313" s="2" t="e">
        <f t="shared" si="62"/>
        <v>#N/A</v>
      </c>
    </row>
    <row r="1314" spans="6:8" x14ac:dyDescent="0.25">
      <c r="F1314" s="2" t="e">
        <f t="shared" si="60"/>
        <v>#N/A</v>
      </c>
      <c r="G1314" s="2" t="e">
        <f t="shared" si="61"/>
        <v>#N/A</v>
      </c>
      <c r="H1314" s="2" t="e">
        <f t="shared" si="62"/>
        <v>#N/A</v>
      </c>
    </row>
    <row r="1315" spans="6:8" x14ac:dyDescent="0.25">
      <c r="F1315" s="2" t="e">
        <f t="shared" si="60"/>
        <v>#N/A</v>
      </c>
      <c r="G1315" s="2" t="e">
        <f t="shared" si="61"/>
        <v>#N/A</v>
      </c>
      <c r="H1315" s="2" t="e">
        <f t="shared" si="62"/>
        <v>#N/A</v>
      </c>
    </row>
    <row r="1316" spans="6:8" x14ac:dyDescent="0.25">
      <c r="F1316" s="2" t="e">
        <f t="shared" si="60"/>
        <v>#N/A</v>
      </c>
      <c r="G1316" s="2" t="e">
        <f t="shared" si="61"/>
        <v>#N/A</v>
      </c>
      <c r="H1316" s="2" t="e">
        <f t="shared" si="62"/>
        <v>#N/A</v>
      </c>
    </row>
    <row r="1317" spans="6:8" x14ac:dyDescent="0.25">
      <c r="F1317" s="2" t="e">
        <f t="shared" si="60"/>
        <v>#N/A</v>
      </c>
      <c r="G1317" s="2" t="e">
        <f t="shared" si="61"/>
        <v>#N/A</v>
      </c>
      <c r="H1317" s="2" t="e">
        <f t="shared" si="62"/>
        <v>#N/A</v>
      </c>
    </row>
    <row r="1318" spans="6:8" x14ac:dyDescent="0.25">
      <c r="F1318" s="2" t="e">
        <f t="shared" si="60"/>
        <v>#N/A</v>
      </c>
      <c r="G1318" s="2" t="e">
        <f t="shared" si="61"/>
        <v>#N/A</v>
      </c>
      <c r="H1318" s="2" t="e">
        <f t="shared" si="62"/>
        <v>#N/A</v>
      </c>
    </row>
    <row r="1319" spans="6:8" x14ac:dyDescent="0.25">
      <c r="F1319" s="2" t="e">
        <f t="shared" si="60"/>
        <v>#N/A</v>
      </c>
      <c r="G1319" s="2" t="e">
        <f t="shared" si="61"/>
        <v>#N/A</v>
      </c>
      <c r="H1319" s="2" t="e">
        <f t="shared" si="62"/>
        <v>#N/A</v>
      </c>
    </row>
    <row r="1320" spans="6:8" x14ac:dyDescent="0.25">
      <c r="F1320" s="2" t="e">
        <f t="shared" si="60"/>
        <v>#N/A</v>
      </c>
      <c r="G1320" s="2" t="e">
        <f t="shared" si="61"/>
        <v>#N/A</v>
      </c>
      <c r="H1320" s="2" t="e">
        <f t="shared" si="62"/>
        <v>#N/A</v>
      </c>
    </row>
    <row r="1321" spans="6:8" x14ac:dyDescent="0.25">
      <c r="F1321" s="2" t="e">
        <f t="shared" si="60"/>
        <v>#N/A</v>
      </c>
      <c r="G1321" s="2" t="e">
        <f t="shared" si="61"/>
        <v>#N/A</v>
      </c>
      <c r="H1321" s="2" t="e">
        <f t="shared" si="62"/>
        <v>#N/A</v>
      </c>
    </row>
    <row r="1322" spans="6:8" x14ac:dyDescent="0.25">
      <c r="F1322" s="2" t="e">
        <f t="shared" si="60"/>
        <v>#N/A</v>
      </c>
      <c r="G1322" s="2" t="e">
        <f t="shared" si="61"/>
        <v>#N/A</v>
      </c>
      <c r="H1322" s="2" t="e">
        <f t="shared" si="62"/>
        <v>#N/A</v>
      </c>
    </row>
    <row r="1323" spans="6:8" x14ac:dyDescent="0.25">
      <c r="F1323" s="2" t="e">
        <f t="shared" si="60"/>
        <v>#N/A</v>
      </c>
      <c r="G1323" s="2" t="e">
        <f t="shared" si="61"/>
        <v>#N/A</v>
      </c>
      <c r="H1323" s="2" t="e">
        <f t="shared" si="62"/>
        <v>#N/A</v>
      </c>
    </row>
    <row r="1324" spans="6:8" x14ac:dyDescent="0.25">
      <c r="F1324" s="2" t="e">
        <f t="shared" si="60"/>
        <v>#N/A</v>
      </c>
      <c r="G1324" s="2" t="e">
        <f t="shared" si="61"/>
        <v>#N/A</v>
      </c>
      <c r="H1324" s="2" t="e">
        <f t="shared" si="62"/>
        <v>#N/A</v>
      </c>
    </row>
    <row r="1325" spans="6:8" x14ac:dyDescent="0.25">
      <c r="F1325" s="2" t="e">
        <f t="shared" si="60"/>
        <v>#N/A</v>
      </c>
      <c r="G1325" s="2" t="e">
        <f t="shared" si="61"/>
        <v>#N/A</v>
      </c>
      <c r="H1325" s="2" t="e">
        <f t="shared" si="62"/>
        <v>#N/A</v>
      </c>
    </row>
    <row r="1326" spans="6:8" x14ac:dyDescent="0.25">
      <c r="F1326" s="2" t="e">
        <f t="shared" si="60"/>
        <v>#N/A</v>
      </c>
      <c r="G1326" s="2" t="e">
        <f t="shared" si="61"/>
        <v>#N/A</v>
      </c>
      <c r="H1326" s="2" t="e">
        <f t="shared" si="62"/>
        <v>#N/A</v>
      </c>
    </row>
    <row r="1327" spans="6:8" x14ac:dyDescent="0.25">
      <c r="F1327" s="2" t="e">
        <f t="shared" si="60"/>
        <v>#N/A</v>
      </c>
      <c r="G1327" s="2" t="e">
        <f t="shared" si="61"/>
        <v>#N/A</v>
      </c>
      <c r="H1327" s="2" t="e">
        <f t="shared" si="62"/>
        <v>#N/A</v>
      </c>
    </row>
    <row r="1328" spans="6:8" x14ac:dyDescent="0.25">
      <c r="F1328" s="2" t="e">
        <f t="shared" si="60"/>
        <v>#N/A</v>
      </c>
      <c r="G1328" s="2" t="e">
        <f t="shared" si="61"/>
        <v>#N/A</v>
      </c>
      <c r="H1328" s="2" t="e">
        <f t="shared" si="62"/>
        <v>#N/A</v>
      </c>
    </row>
    <row r="1329" spans="6:8" x14ac:dyDescent="0.25">
      <c r="F1329" s="2" t="e">
        <f t="shared" si="60"/>
        <v>#N/A</v>
      </c>
      <c r="G1329" s="2" t="e">
        <f t="shared" si="61"/>
        <v>#N/A</v>
      </c>
      <c r="H1329" s="2" t="e">
        <f t="shared" si="62"/>
        <v>#N/A</v>
      </c>
    </row>
    <row r="1330" spans="6:8" x14ac:dyDescent="0.25">
      <c r="F1330" s="2" t="e">
        <f t="shared" si="60"/>
        <v>#N/A</v>
      </c>
      <c r="G1330" s="2" t="e">
        <f t="shared" si="61"/>
        <v>#N/A</v>
      </c>
      <c r="H1330" s="2" t="e">
        <f t="shared" si="62"/>
        <v>#N/A</v>
      </c>
    </row>
    <row r="1331" spans="6:8" x14ac:dyDescent="0.25">
      <c r="F1331" s="2" t="e">
        <f t="shared" si="60"/>
        <v>#N/A</v>
      </c>
      <c r="G1331" s="2" t="e">
        <f t="shared" si="61"/>
        <v>#N/A</v>
      </c>
      <c r="H1331" s="2" t="e">
        <f t="shared" si="62"/>
        <v>#N/A</v>
      </c>
    </row>
    <row r="1332" spans="6:8" x14ac:dyDescent="0.25">
      <c r="F1332" s="2" t="e">
        <f t="shared" si="60"/>
        <v>#N/A</v>
      </c>
      <c r="G1332" s="2" t="e">
        <f t="shared" si="61"/>
        <v>#N/A</v>
      </c>
      <c r="H1332" s="2" t="e">
        <f t="shared" si="62"/>
        <v>#N/A</v>
      </c>
    </row>
    <row r="1333" spans="6:8" x14ac:dyDescent="0.25">
      <c r="F1333" s="2" t="e">
        <f t="shared" si="60"/>
        <v>#N/A</v>
      </c>
      <c r="G1333" s="2" t="e">
        <f t="shared" si="61"/>
        <v>#N/A</v>
      </c>
      <c r="H1333" s="2" t="e">
        <f t="shared" si="62"/>
        <v>#N/A</v>
      </c>
    </row>
    <row r="1334" spans="6:8" x14ac:dyDescent="0.25">
      <c r="F1334" s="2" t="e">
        <f t="shared" si="60"/>
        <v>#N/A</v>
      </c>
      <c r="G1334" s="2" t="e">
        <f t="shared" si="61"/>
        <v>#N/A</v>
      </c>
      <c r="H1334" s="2" t="e">
        <f t="shared" si="62"/>
        <v>#N/A</v>
      </c>
    </row>
    <row r="1335" spans="6:8" x14ac:dyDescent="0.25">
      <c r="F1335" s="2" t="e">
        <f t="shared" si="60"/>
        <v>#N/A</v>
      </c>
      <c r="G1335" s="2" t="e">
        <f t="shared" si="61"/>
        <v>#N/A</v>
      </c>
      <c r="H1335" s="2" t="e">
        <f t="shared" si="62"/>
        <v>#N/A</v>
      </c>
    </row>
    <row r="1336" spans="6:8" x14ac:dyDescent="0.25">
      <c r="F1336" s="2" t="e">
        <f t="shared" si="60"/>
        <v>#N/A</v>
      </c>
      <c r="G1336" s="2" t="e">
        <f t="shared" si="61"/>
        <v>#N/A</v>
      </c>
      <c r="H1336" s="2" t="e">
        <f t="shared" si="62"/>
        <v>#N/A</v>
      </c>
    </row>
    <row r="1337" spans="6:8" x14ac:dyDescent="0.25">
      <c r="F1337" s="2" t="e">
        <f t="shared" si="60"/>
        <v>#N/A</v>
      </c>
      <c r="G1337" s="2" t="e">
        <f t="shared" si="61"/>
        <v>#N/A</v>
      </c>
      <c r="H1337" s="2" t="e">
        <f t="shared" si="62"/>
        <v>#N/A</v>
      </c>
    </row>
    <row r="1338" spans="6:8" x14ac:dyDescent="0.25">
      <c r="F1338" s="2" t="e">
        <f t="shared" si="60"/>
        <v>#N/A</v>
      </c>
      <c r="G1338" s="2" t="e">
        <f t="shared" si="61"/>
        <v>#N/A</v>
      </c>
      <c r="H1338" s="2" t="e">
        <f t="shared" si="62"/>
        <v>#N/A</v>
      </c>
    </row>
    <row r="1339" spans="6:8" x14ac:dyDescent="0.25">
      <c r="F1339" s="2" t="e">
        <f t="shared" si="60"/>
        <v>#N/A</v>
      </c>
      <c r="G1339" s="2" t="e">
        <f t="shared" si="61"/>
        <v>#N/A</v>
      </c>
      <c r="H1339" s="2" t="e">
        <f t="shared" si="62"/>
        <v>#N/A</v>
      </c>
    </row>
    <row r="1340" spans="6:8" x14ac:dyDescent="0.25">
      <c r="F1340" s="2" t="e">
        <f t="shared" si="60"/>
        <v>#N/A</v>
      </c>
      <c r="G1340" s="2" t="e">
        <f t="shared" si="61"/>
        <v>#N/A</v>
      </c>
      <c r="H1340" s="2" t="e">
        <f t="shared" si="62"/>
        <v>#N/A</v>
      </c>
    </row>
    <row r="1341" spans="6:8" x14ac:dyDescent="0.25">
      <c r="F1341" s="2" t="e">
        <f t="shared" si="60"/>
        <v>#N/A</v>
      </c>
      <c r="G1341" s="2" t="e">
        <f t="shared" si="61"/>
        <v>#N/A</v>
      </c>
      <c r="H1341" s="2" t="e">
        <f t="shared" si="62"/>
        <v>#N/A</v>
      </c>
    </row>
    <row r="1342" spans="6:8" x14ac:dyDescent="0.25">
      <c r="F1342" s="2" t="e">
        <f t="shared" si="60"/>
        <v>#N/A</v>
      </c>
      <c r="G1342" s="2" t="e">
        <f t="shared" si="61"/>
        <v>#N/A</v>
      </c>
      <c r="H1342" s="2" t="e">
        <f t="shared" si="62"/>
        <v>#N/A</v>
      </c>
    </row>
    <row r="1343" spans="6:8" x14ac:dyDescent="0.25">
      <c r="F1343" s="2" t="e">
        <f t="shared" si="60"/>
        <v>#N/A</v>
      </c>
      <c r="G1343" s="2" t="e">
        <f t="shared" si="61"/>
        <v>#N/A</v>
      </c>
      <c r="H1343" s="2" t="e">
        <f t="shared" si="62"/>
        <v>#N/A</v>
      </c>
    </row>
    <row r="1344" spans="6:8" x14ac:dyDescent="0.25">
      <c r="F1344" s="2" t="e">
        <f t="shared" si="60"/>
        <v>#N/A</v>
      </c>
      <c r="G1344" s="2" t="e">
        <f t="shared" si="61"/>
        <v>#N/A</v>
      </c>
      <c r="H1344" s="2" t="e">
        <f t="shared" si="62"/>
        <v>#N/A</v>
      </c>
    </row>
    <row r="1345" spans="6:8" x14ac:dyDescent="0.25">
      <c r="F1345" s="2" t="e">
        <f t="shared" si="60"/>
        <v>#N/A</v>
      </c>
      <c r="G1345" s="2" t="e">
        <f t="shared" si="61"/>
        <v>#N/A</v>
      </c>
      <c r="H1345" s="2" t="e">
        <f t="shared" si="62"/>
        <v>#N/A</v>
      </c>
    </row>
    <row r="1346" spans="6:8" x14ac:dyDescent="0.25">
      <c r="F1346" s="2" t="e">
        <f t="shared" si="60"/>
        <v>#N/A</v>
      </c>
      <c r="G1346" s="2" t="e">
        <f t="shared" si="61"/>
        <v>#N/A</v>
      </c>
      <c r="H1346" s="2" t="e">
        <f t="shared" si="62"/>
        <v>#N/A</v>
      </c>
    </row>
    <row r="1347" spans="6:8" x14ac:dyDescent="0.25">
      <c r="F1347" s="2" t="e">
        <f t="shared" si="60"/>
        <v>#N/A</v>
      </c>
      <c r="G1347" s="2" t="e">
        <f t="shared" si="61"/>
        <v>#N/A</v>
      </c>
      <c r="H1347" s="2" t="e">
        <f t="shared" si="62"/>
        <v>#N/A</v>
      </c>
    </row>
    <row r="1348" spans="6:8" x14ac:dyDescent="0.25">
      <c r="F1348" s="2" t="e">
        <f t="shared" si="60"/>
        <v>#N/A</v>
      </c>
      <c r="G1348" s="2" t="e">
        <f t="shared" si="61"/>
        <v>#N/A</v>
      </c>
      <c r="H1348" s="2" t="e">
        <f t="shared" si="62"/>
        <v>#N/A</v>
      </c>
    </row>
    <row r="1349" spans="6:8" x14ac:dyDescent="0.25">
      <c r="F1349" s="2" t="e">
        <f t="shared" si="60"/>
        <v>#N/A</v>
      </c>
      <c r="G1349" s="2" t="e">
        <f t="shared" si="61"/>
        <v>#N/A</v>
      </c>
      <c r="H1349" s="2" t="e">
        <f t="shared" si="62"/>
        <v>#N/A</v>
      </c>
    </row>
    <row r="1350" spans="6:8" x14ac:dyDescent="0.25">
      <c r="F1350" s="2" t="e">
        <f t="shared" ref="F1350:F1413" si="63">IF(F1349&lt;2,F1349+$D$6,NA())</f>
        <v>#N/A</v>
      </c>
      <c r="G1350" s="2" t="e">
        <f t="shared" ref="G1350:G1413" si="64">IF(ISNA(F1350), NA(),(1+$D$3*$D$6)*G1349+$D$6*$D$4)</f>
        <v>#N/A</v>
      </c>
      <c r="H1350" s="2" t="e">
        <f t="shared" ref="H1350:H1413" si="65">IF(ISNA(G1350),NA(),$D$7*EXP($D$3*F1350)-($D$4/$D$3))</f>
        <v>#N/A</v>
      </c>
    </row>
    <row r="1351" spans="6:8" x14ac:dyDescent="0.25">
      <c r="F1351" s="2" t="e">
        <f t="shared" si="63"/>
        <v>#N/A</v>
      </c>
      <c r="G1351" s="2" t="e">
        <f t="shared" si="64"/>
        <v>#N/A</v>
      </c>
      <c r="H1351" s="2" t="e">
        <f t="shared" si="65"/>
        <v>#N/A</v>
      </c>
    </row>
    <row r="1352" spans="6:8" x14ac:dyDescent="0.25">
      <c r="F1352" s="2" t="e">
        <f t="shared" si="63"/>
        <v>#N/A</v>
      </c>
      <c r="G1352" s="2" t="e">
        <f t="shared" si="64"/>
        <v>#N/A</v>
      </c>
      <c r="H1352" s="2" t="e">
        <f t="shared" si="65"/>
        <v>#N/A</v>
      </c>
    </row>
    <row r="1353" spans="6:8" x14ac:dyDescent="0.25">
      <c r="F1353" s="2" t="e">
        <f t="shared" si="63"/>
        <v>#N/A</v>
      </c>
      <c r="G1353" s="2" t="e">
        <f t="shared" si="64"/>
        <v>#N/A</v>
      </c>
      <c r="H1353" s="2" t="e">
        <f t="shared" si="65"/>
        <v>#N/A</v>
      </c>
    </row>
    <row r="1354" spans="6:8" x14ac:dyDescent="0.25">
      <c r="F1354" s="2" t="e">
        <f t="shared" si="63"/>
        <v>#N/A</v>
      </c>
      <c r="G1354" s="2" t="e">
        <f t="shared" si="64"/>
        <v>#N/A</v>
      </c>
      <c r="H1354" s="2" t="e">
        <f t="shared" si="65"/>
        <v>#N/A</v>
      </c>
    </row>
    <row r="1355" spans="6:8" x14ac:dyDescent="0.25">
      <c r="F1355" s="2" t="e">
        <f t="shared" si="63"/>
        <v>#N/A</v>
      </c>
      <c r="G1355" s="2" t="e">
        <f t="shared" si="64"/>
        <v>#N/A</v>
      </c>
      <c r="H1355" s="2" t="e">
        <f t="shared" si="65"/>
        <v>#N/A</v>
      </c>
    </row>
    <row r="1356" spans="6:8" x14ac:dyDescent="0.25">
      <c r="F1356" s="2" t="e">
        <f t="shared" si="63"/>
        <v>#N/A</v>
      </c>
      <c r="G1356" s="2" t="e">
        <f t="shared" si="64"/>
        <v>#N/A</v>
      </c>
      <c r="H1356" s="2" t="e">
        <f t="shared" si="65"/>
        <v>#N/A</v>
      </c>
    </row>
    <row r="1357" spans="6:8" x14ac:dyDescent="0.25">
      <c r="F1357" s="2" t="e">
        <f t="shared" si="63"/>
        <v>#N/A</v>
      </c>
      <c r="G1357" s="2" t="e">
        <f t="shared" si="64"/>
        <v>#N/A</v>
      </c>
      <c r="H1357" s="2" t="e">
        <f t="shared" si="65"/>
        <v>#N/A</v>
      </c>
    </row>
    <row r="1358" spans="6:8" x14ac:dyDescent="0.25">
      <c r="F1358" s="2" t="e">
        <f t="shared" si="63"/>
        <v>#N/A</v>
      </c>
      <c r="G1358" s="2" t="e">
        <f t="shared" si="64"/>
        <v>#N/A</v>
      </c>
      <c r="H1358" s="2" t="e">
        <f t="shared" si="65"/>
        <v>#N/A</v>
      </c>
    </row>
    <row r="1359" spans="6:8" x14ac:dyDescent="0.25">
      <c r="F1359" s="2" t="e">
        <f t="shared" si="63"/>
        <v>#N/A</v>
      </c>
      <c r="G1359" s="2" t="e">
        <f t="shared" si="64"/>
        <v>#N/A</v>
      </c>
      <c r="H1359" s="2" t="e">
        <f t="shared" si="65"/>
        <v>#N/A</v>
      </c>
    </row>
    <row r="1360" spans="6:8" x14ac:dyDescent="0.25">
      <c r="F1360" s="2" t="e">
        <f t="shared" si="63"/>
        <v>#N/A</v>
      </c>
      <c r="G1360" s="2" t="e">
        <f t="shared" si="64"/>
        <v>#N/A</v>
      </c>
      <c r="H1360" s="2" t="e">
        <f t="shared" si="65"/>
        <v>#N/A</v>
      </c>
    </row>
    <row r="1361" spans="6:8" x14ac:dyDescent="0.25">
      <c r="F1361" s="2" t="e">
        <f t="shared" si="63"/>
        <v>#N/A</v>
      </c>
      <c r="G1361" s="2" t="e">
        <f t="shared" si="64"/>
        <v>#N/A</v>
      </c>
      <c r="H1361" s="2" t="e">
        <f t="shared" si="65"/>
        <v>#N/A</v>
      </c>
    </row>
    <row r="1362" spans="6:8" x14ac:dyDescent="0.25">
      <c r="F1362" s="2" t="e">
        <f t="shared" si="63"/>
        <v>#N/A</v>
      </c>
      <c r="G1362" s="2" t="e">
        <f t="shared" si="64"/>
        <v>#N/A</v>
      </c>
      <c r="H1362" s="2" t="e">
        <f t="shared" si="65"/>
        <v>#N/A</v>
      </c>
    </row>
    <row r="1363" spans="6:8" x14ac:dyDescent="0.25">
      <c r="F1363" s="2" t="e">
        <f t="shared" si="63"/>
        <v>#N/A</v>
      </c>
      <c r="G1363" s="2" t="e">
        <f t="shared" si="64"/>
        <v>#N/A</v>
      </c>
      <c r="H1363" s="2" t="e">
        <f t="shared" si="65"/>
        <v>#N/A</v>
      </c>
    </row>
    <row r="1364" spans="6:8" x14ac:dyDescent="0.25">
      <c r="F1364" s="2" t="e">
        <f t="shared" si="63"/>
        <v>#N/A</v>
      </c>
      <c r="G1364" s="2" t="e">
        <f t="shared" si="64"/>
        <v>#N/A</v>
      </c>
      <c r="H1364" s="2" t="e">
        <f t="shared" si="65"/>
        <v>#N/A</v>
      </c>
    </row>
    <row r="1365" spans="6:8" x14ac:dyDescent="0.25">
      <c r="F1365" s="2" t="e">
        <f t="shared" si="63"/>
        <v>#N/A</v>
      </c>
      <c r="G1365" s="2" t="e">
        <f t="shared" si="64"/>
        <v>#N/A</v>
      </c>
      <c r="H1365" s="2" t="e">
        <f t="shared" si="65"/>
        <v>#N/A</v>
      </c>
    </row>
    <row r="1366" spans="6:8" x14ac:dyDescent="0.25">
      <c r="F1366" s="2" t="e">
        <f t="shared" si="63"/>
        <v>#N/A</v>
      </c>
      <c r="G1366" s="2" t="e">
        <f t="shared" si="64"/>
        <v>#N/A</v>
      </c>
      <c r="H1366" s="2" t="e">
        <f t="shared" si="65"/>
        <v>#N/A</v>
      </c>
    </row>
    <row r="1367" spans="6:8" x14ac:dyDescent="0.25">
      <c r="F1367" s="2" t="e">
        <f t="shared" si="63"/>
        <v>#N/A</v>
      </c>
      <c r="G1367" s="2" t="e">
        <f t="shared" si="64"/>
        <v>#N/A</v>
      </c>
      <c r="H1367" s="2" t="e">
        <f t="shared" si="65"/>
        <v>#N/A</v>
      </c>
    </row>
    <row r="1368" spans="6:8" x14ac:dyDescent="0.25">
      <c r="F1368" s="2" t="e">
        <f t="shared" si="63"/>
        <v>#N/A</v>
      </c>
      <c r="G1368" s="2" t="e">
        <f t="shared" si="64"/>
        <v>#N/A</v>
      </c>
      <c r="H1368" s="2" t="e">
        <f t="shared" si="65"/>
        <v>#N/A</v>
      </c>
    </row>
    <row r="1369" spans="6:8" x14ac:dyDescent="0.25">
      <c r="F1369" s="2" t="e">
        <f t="shared" si="63"/>
        <v>#N/A</v>
      </c>
      <c r="G1369" s="2" t="e">
        <f t="shared" si="64"/>
        <v>#N/A</v>
      </c>
      <c r="H1369" s="2" t="e">
        <f t="shared" si="65"/>
        <v>#N/A</v>
      </c>
    </row>
    <row r="1370" spans="6:8" x14ac:dyDescent="0.25">
      <c r="F1370" s="2" t="e">
        <f t="shared" si="63"/>
        <v>#N/A</v>
      </c>
      <c r="G1370" s="2" t="e">
        <f t="shared" si="64"/>
        <v>#N/A</v>
      </c>
      <c r="H1370" s="2" t="e">
        <f t="shared" si="65"/>
        <v>#N/A</v>
      </c>
    </row>
    <row r="1371" spans="6:8" x14ac:dyDescent="0.25">
      <c r="F1371" s="2" t="e">
        <f t="shared" si="63"/>
        <v>#N/A</v>
      </c>
      <c r="G1371" s="2" t="e">
        <f t="shared" si="64"/>
        <v>#N/A</v>
      </c>
      <c r="H1371" s="2" t="e">
        <f t="shared" si="65"/>
        <v>#N/A</v>
      </c>
    </row>
    <row r="1372" spans="6:8" x14ac:dyDescent="0.25">
      <c r="F1372" s="2" t="e">
        <f t="shared" si="63"/>
        <v>#N/A</v>
      </c>
      <c r="G1372" s="2" t="e">
        <f t="shared" si="64"/>
        <v>#N/A</v>
      </c>
      <c r="H1372" s="2" t="e">
        <f t="shared" si="65"/>
        <v>#N/A</v>
      </c>
    </row>
    <row r="1373" spans="6:8" x14ac:dyDescent="0.25">
      <c r="F1373" s="2" t="e">
        <f t="shared" si="63"/>
        <v>#N/A</v>
      </c>
      <c r="G1373" s="2" t="e">
        <f t="shared" si="64"/>
        <v>#N/A</v>
      </c>
      <c r="H1373" s="2" t="e">
        <f t="shared" si="65"/>
        <v>#N/A</v>
      </c>
    </row>
    <row r="1374" spans="6:8" x14ac:dyDescent="0.25">
      <c r="F1374" s="2" t="e">
        <f t="shared" si="63"/>
        <v>#N/A</v>
      </c>
      <c r="G1374" s="2" t="e">
        <f t="shared" si="64"/>
        <v>#N/A</v>
      </c>
      <c r="H1374" s="2" t="e">
        <f t="shared" si="65"/>
        <v>#N/A</v>
      </c>
    </row>
    <row r="1375" spans="6:8" x14ac:dyDescent="0.25">
      <c r="F1375" s="2" t="e">
        <f t="shared" si="63"/>
        <v>#N/A</v>
      </c>
      <c r="G1375" s="2" t="e">
        <f t="shared" si="64"/>
        <v>#N/A</v>
      </c>
      <c r="H1375" s="2" t="e">
        <f t="shared" si="65"/>
        <v>#N/A</v>
      </c>
    </row>
    <row r="1376" spans="6:8" x14ac:dyDescent="0.25">
      <c r="F1376" s="2" t="e">
        <f t="shared" si="63"/>
        <v>#N/A</v>
      </c>
      <c r="G1376" s="2" t="e">
        <f t="shared" si="64"/>
        <v>#N/A</v>
      </c>
      <c r="H1376" s="2" t="e">
        <f t="shared" si="65"/>
        <v>#N/A</v>
      </c>
    </row>
    <row r="1377" spans="6:8" x14ac:dyDescent="0.25">
      <c r="F1377" s="2" t="e">
        <f t="shared" si="63"/>
        <v>#N/A</v>
      </c>
      <c r="G1377" s="2" t="e">
        <f t="shared" si="64"/>
        <v>#N/A</v>
      </c>
      <c r="H1377" s="2" t="e">
        <f t="shared" si="65"/>
        <v>#N/A</v>
      </c>
    </row>
    <row r="1378" spans="6:8" x14ac:dyDescent="0.25">
      <c r="F1378" s="2" t="e">
        <f t="shared" si="63"/>
        <v>#N/A</v>
      </c>
      <c r="G1378" s="2" t="e">
        <f t="shared" si="64"/>
        <v>#N/A</v>
      </c>
      <c r="H1378" s="2" t="e">
        <f t="shared" si="65"/>
        <v>#N/A</v>
      </c>
    </row>
    <row r="1379" spans="6:8" x14ac:dyDescent="0.25">
      <c r="F1379" s="2" t="e">
        <f t="shared" si="63"/>
        <v>#N/A</v>
      </c>
      <c r="G1379" s="2" t="e">
        <f t="shared" si="64"/>
        <v>#N/A</v>
      </c>
      <c r="H1379" s="2" t="e">
        <f t="shared" si="65"/>
        <v>#N/A</v>
      </c>
    </row>
    <row r="1380" spans="6:8" x14ac:dyDescent="0.25">
      <c r="F1380" s="2" t="e">
        <f t="shared" si="63"/>
        <v>#N/A</v>
      </c>
      <c r="G1380" s="2" t="e">
        <f t="shared" si="64"/>
        <v>#N/A</v>
      </c>
      <c r="H1380" s="2" t="e">
        <f t="shared" si="65"/>
        <v>#N/A</v>
      </c>
    </row>
    <row r="1381" spans="6:8" x14ac:dyDescent="0.25">
      <c r="F1381" s="2" t="e">
        <f t="shared" si="63"/>
        <v>#N/A</v>
      </c>
      <c r="G1381" s="2" t="e">
        <f t="shared" si="64"/>
        <v>#N/A</v>
      </c>
      <c r="H1381" s="2" t="e">
        <f t="shared" si="65"/>
        <v>#N/A</v>
      </c>
    </row>
    <row r="1382" spans="6:8" x14ac:dyDescent="0.25">
      <c r="F1382" s="2" t="e">
        <f t="shared" si="63"/>
        <v>#N/A</v>
      </c>
      <c r="G1382" s="2" t="e">
        <f t="shared" si="64"/>
        <v>#N/A</v>
      </c>
      <c r="H1382" s="2" t="e">
        <f t="shared" si="65"/>
        <v>#N/A</v>
      </c>
    </row>
    <row r="1383" spans="6:8" x14ac:dyDescent="0.25">
      <c r="F1383" s="2" t="e">
        <f t="shared" si="63"/>
        <v>#N/A</v>
      </c>
      <c r="G1383" s="2" t="e">
        <f t="shared" si="64"/>
        <v>#N/A</v>
      </c>
      <c r="H1383" s="2" t="e">
        <f t="shared" si="65"/>
        <v>#N/A</v>
      </c>
    </row>
    <row r="1384" spans="6:8" x14ac:dyDescent="0.25">
      <c r="F1384" s="2" t="e">
        <f t="shared" si="63"/>
        <v>#N/A</v>
      </c>
      <c r="G1384" s="2" t="e">
        <f t="shared" si="64"/>
        <v>#N/A</v>
      </c>
      <c r="H1384" s="2" t="e">
        <f t="shared" si="65"/>
        <v>#N/A</v>
      </c>
    </row>
    <row r="1385" spans="6:8" x14ac:dyDescent="0.25">
      <c r="F1385" s="2" t="e">
        <f t="shared" si="63"/>
        <v>#N/A</v>
      </c>
      <c r="G1385" s="2" t="e">
        <f t="shared" si="64"/>
        <v>#N/A</v>
      </c>
      <c r="H1385" s="2" t="e">
        <f t="shared" si="65"/>
        <v>#N/A</v>
      </c>
    </row>
    <row r="1386" spans="6:8" x14ac:dyDescent="0.25">
      <c r="F1386" s="2" t="e">
        <f t="shared" si="63"/>
        <v>#N/A</v>
      </c>
      <c r="G1386" s="2" t="e">
        <f t="shared" si="64"/>
        <v>#N/A</v>
      </c>
      <c r="H1386" s="2" t="e">
        <f t="shared" si="65"/>
        <v>#N/A</v>
      </c>
    </row>
    <row r="1387" spans="6:8" x14ac:dyDescent="0.25">
      <c r="F1387" s="2" t="e">
        <f t="shared" si="63"/>
        <v>#N/A</v>
      </c>
      <c r="G1387" s="2" t="e">
        <f t="shared" si="64"/>
        <v>#N/A</v>
      </c>
      <c r="H1387" s="2" t="e">
        <f t="shared" si="65"/>
        <v>#N/A</v>
      </c>
    </row>
    <row r="1388" spans="6:8" x14ac:dyDescent="0.25">
      <c r="F1388" s="2" t="e">
        <f t="shared" si="63"/>
        <v>#N/A</v>
      </c>
      <c r="G1388" s="2" t="e">
        <f t="shared" si="64"/>
        <v>#N/A</v>
      </c>
      <c r="H1388" s="2" t="e">
        <f t="shared" si="65"/>
        <v>#N/A</v>
      </c>
    </row>
    <row r="1389" spans="6:8" x14ac:dyDescent="0.25">
      <c r="F1389" s="2" t="e">
        <f t="shared" si="63"/>
        <v>#N/A</v>
      </c>
      <c r="G1389" s="2" t="e">
        <f t="shared" si="64"/>
        <v>#N/A</v>
      </c>
      <c r="H1389" s="2" t="e">
        <f t="shared" si="65"/>
        <v>#N/A</v>
      </c>
    </row>
    <row r="1390" spans="6:8" x14ac:dyDescent="0.25">
      <c r="F1390" s="2" t="e">
        <f t="shared" si="63"/>
        <v>#N/A</v>
      </c>
      <c r="G1390" s="2" t="e">
        <f t="shared" si="64"/>
        <v>#N/A</v>
      </c>
      <c r="H1390" s="2" t="e">
        <f t="shared" si="65"/>
        <v>#N/A</v>
      </c>
    </row>
    <row r="1391" spans="6:8" x14ac:dyDescent="0.25">
      <c r="F1391" s="2" t="e">
        <f t="shared" si="63"/>
        <v>#N/A</v>
      </c>
      <c r="G1391" s="2" t="e">
        <f t="shared" si="64"/>
        <v>#N/A</v>
      </c>
      <c r="H1391" s="2" t="e">
        <f t="shared" si="65"/>
        <v>#N/A</v>
      </c>
    </row>
    <row r="1392" spans="6:8" x14ac:dyDescent="0.25">
      <c r="F1392" s="2" t="e">
        <f t="shared" si="63"/>
        <v>#N/A</v>
      </c>
      <c r="G1392" s="2" t="e">
        <f t="shared" si="64"/>
        <v>#N/A</v>
      </c>
      <c r="H1392" s="2" t="e">
        <f t="shared" si="65"/>
        <v>#N/A</v>
      </c>
    </row>
    <row r="1393" spans="6:8" x14ac:dyDescent="0.25">
      <c r="F1393" s="2" t="e">
        <f t="shared" si="63"/>
        <v>#N/A</v>
      </c>
      <c r="G1393" s="2" t="e">
        <f t="shared" si="64"/>
        <v>#N/A</v>
      </c>
      <c r="H1393" s="2" t="e">
        <f t="shared" si="65"/>
        <v>#N/A</v>
      </c>
    </row>
    <row r="1394" spans="6:8" x14ac:dyDescent="0.25">
      <c r="F1394" s="2" t="e">
        <f t="shared" si="63"/>
        <v>#N/A</v>
      </c>
      <c r="G1394" s="2" t="e">
        <f t="shared" si="64"/>
        <v>#N/A</v>
      </c>
      <c r="H1394" s="2" t="e">
        <f t="shared" si="65"/>
        <v>#N/A</v>
      </c>
    </row>
    <row r="1395" spans="6:8" x14ac:dyDescent="0.25">
      <c r="F1395" s="2" t="e">
        <f t="shared" si="63"/>
        <v>#N/A</v>
      </c>
      <c r="G1395" s="2" t="e">
        <f t="shared" si="64"/>
        <v>#N/A</v>
      </c>
      <c r="H1395" s="2" t="e">
        <f t="shared" si="65"/>
        <v>#N/A</v>
      </c>
    </row>
    <row r="1396" spans="6:8" x14ac:dyDescent="0.25">
      <c r="F1396" s="2" t="e">
        <f t="shared" si="63"/>
        <v>#N/A</v>
      </c>
      <c r="G1396" s="2" t="e">
        <f t="shared" si="64"/>
        <v>#N/A</v>
      </c>
      <c r="H1396" s="2" t="e">
        <f t="shared" si="65"/>
        <v>#N/A</v>
      </c>
    </row>
    <row r="1397" spans="6:8" x14ac:dyDescent="0.25">
      <c r="F1397" s="2" t="e">
        <f t="shared" si="63"/>
        <v>#N/A</v>
      </c>
      <c r="G1397" s="2" t="e">
        <f t="shared" si="64"/>
        <v>#N/A</v>
      </c>
      <c r="H1397" s="2" t="e">
        <f t="shared" si="65"/>
        <v>#N/A</v>
      </c>
    </row>
    <row r="1398" spans="6:8" x14ac:dyDescent="0.25">
      <c r="F1398" s="2" t="e">
        <f t="shared" si="63"/>
        <v>#N/A</v>
      </c>
      <c r="G1398" s="2" t="e">
        <f t="shared" si="64"/>
        <v>#N/A</v>
      </c>
      <c r="H1398" s="2" t="e">
        <f t="shared" si="65"/>
        <v>#N/A</v>
      </c>
    </row>
    <row r="1399" spans="6:8" x14ac:dyDescent="0.25">
      <c r="F1399" s="2" t="e">
        <f t="shared" si="63"/>
        <v>#N/A</v>
      </c>
      <c r="G1399" s="2" t="e">
        <f t="shared" si="64"/>
        <v>#N/A</v>
      </c>
      <c r="H1399" s="2" t="e">
        <f t="shared" si="65"/>
        <v>#N/A</v>
      </c>
    </row>
    <row r="1400" spans="6:8" x14ac:dyDescent="0.25">
      <c r="F1400" s="2" t="e">
        <f t="shared" si="63"/>
        <v>#N/A</v>
      </c>
      <c r="G1400" s="2" t="e">
        <f t="shared" si="64"/>
        <v>#N/A</v>
      </c>
      <c r="H1400" s="2" t="e">
        <f t="shared" si="65"/>
        <v>#N/A</v>
      </c>
    </row>
    <row r="1401" spans="6:8" x14ac:dyDescent="0.25">
      <c r="F1401" s="2" t="e">
        <f t="shared" si="63"/>
        <v>#N/A</v>
      </c>
      <c r="G1401" s="2" t="e">
        <f t="shared" si="64"/>
        <v>#N/A</v>
      </c>
      <c r="H1401" s="2" t="e">
        <f t="shared" si="65"/>
        <v>#N/A</v>
      </c>
    </row>
    <row r="1402" spans="6:8" x14ac:dyDescent="0.25">
      <c r="F1402" s="2" t="e">
        <f t="shared" si="63"/>
        <v>#N/A</v>
      </c>
      <c r="G1402" s="2" t="e">
        <f t="shared" si="64"/>
        <v>#N/A</v>
      </c>
      <c r="H1402" s="2" t="e">
        <f t="shared" si="65"/>
        <v>#N/A</v>
      </c>
    </row>
    <row r="1403" spans="6:8" x14ac:dyDescent="0.25">
      <c r="F1403" s="2" t="e">
        <f t="shared" si="63"/>
        <v>#N/A</v>
      </c>
      <c r="G1403" s="2" t="e">
        <f t="shared" si="64"/>
        <v>#N/A</v>
      </c>
      <c r="H1403" s="2" t="e">
        <f t="shared" si="65"/>
        <v>#N/A</v>
      </c>
    </row>
    <row r="1404" spans="6:8" x14ac:dyDescent="0.25">
      <c r="F1404" s="2" t="e">
        <f t="shared" si="63"/>
        <v>#N/A</v>
      </c>
      <c r="G1404" s="2" t="e">
        <f t="shared" si="64"/>
        <v>#N/A</v>
      </c>
      <c r="H1404" s="2" t="e">
        <f t="shared" si="65"/>
        <v>#N/A</v>
      </c>
    </row>
    <row r="1405" spans="6:8" x14ac:dyDescent="0.25">
      <c r="F1405" s="2" t="e">
        <f t="shared" si="63"/>
        <v>#N/A</v>
      </c>
      <c r="G1405" s="2" t="e">
        <f t="shared" si="64"/>
        <v>#N/A</v>
      </c>
      <c r="H1405" s="2" t="e">
        <f t="shared" si="65"/>
        <v>#N/A</v>
      </c>
    </row>
    <row r="1406" spans="6:8" x14ac:dyDescent="0.25">
      <c r="F1406" s="2" t="e">
        <f t="shared" si="63"/>
        <v>#N/A</v>
      </c>
      <c r="G1406" s="2" t="e">
        <f t="shared" si="64"/>
        <v>#N/A</v>
      </c>
      <c r="H1406" s="2" t="e">
        <f t="shared" si="65"/>
        <v>#N/A</v>
      </c>
    </row>
    <row r="1407" spans="6:8" x14ac:dyDescent="0.25">
      <c r="F1407" s="2" t="e">
        <f t="shared" si="63"/>
        <v>#N/A</v>
      </c>
      <c r="G1407" s="2" t="e">
        <f t="shared" si="64"/>
        <v>#N/A</v>
      </c>
      <c r="H1407" s="2" t="e">
        <f t="shared" si="65"/>
        <v>#N/A</v>
      </c>
    </row>
    <row r="1408" spans="6:8" x14ac:dyDescent="0.25">
      <c r="F1408" s="2" t="e">
        <f t="shared" si="63"/>
        <v>#N/A</v>
      </c>
      <c r="G1408" s="2" t="e">
        <f t="shared" si="64"/>
        <v>#N/A</v>
      </c>
      <c r="H1408" s="2" t="e">
        <f t="shared" si="65"/>
        <v>#N/A</v>
      </c>
    </row>
    <row r="1409" spans="6:8" x14ac:dyDescent="0.25">
      <c r="F1409" s="2" t="e">
        <f t="shared" si="63"/>
        <v>#N/A</v>
      </c>
      <c r="G1409" s="2" t="e">
        <f t="shared" si="64"/>
        <v>#N/A</v>
      </c>
      <c r="H1409" s="2" t="e">
        <f t="shared" si="65"/>
        <v>#N/A</v>
      </c>
    </row>
    <row r="1410" spans="6:8" x14ac:dyDescent="0.25">
      <c r="F1410" s="2" t="e">
        <f t="shared" si="63"/>
        <v>#N/A</v>
      </c>
      <c r="G1410" s="2" t="e">
        <f t="shared" si="64"/>
        <v>#N/A</v>
      </c>
      <c r="H1410" s="2" t="e">
        <f t="shared" si="65"/>
        <v>#N/A</v>
      </c>
    </row>
    <row r="1411" spans="6:8" x14ac:dyDescent="0.25">
      <c r="F1411" s="2" t="e">
        <f t="shared" si="63"/>
        <v>#N/A</v>
      </c>
      <c r="G1411" s="2" t="e">
        <f t="shared" si="64"/>
        <v>#N/A</v>
      </c>
      <c r="H1411" s="2" t="e">
        <f t="shared" si="65"/>
        <v>#N/A</v>
      </c>
    </row>
    <row r="1412" spans="6:8" x14ac:dyDescent="0.25">
      <c r="F1412" s="2" t="e">
        <f t="shared" si="63"/>
        <v>#N/A</v>
      </c>
      <c r="G1412" s="2" t="e">
        <f t="shared" si="64"/>
        <v>#N/A</v>
      </c>
      <c r="H1412" s="2" t="e">
        <f t="shared" si="65"/>
        <v>#N/A</v>
      </c>
    </row>
    <row r="1413" spans="6:8" x14ac:dyDescent="0.25">
      <c r="F1413" s="2" t="e">
        <f t="shared" si="63"/>
        <v>#N/A</v>
      </c>
      <c r="G1413" s="2" t="e">
        <f t="shared" si="64"/>
        <v>#N/A</v>
      </c>
      <c r="H1413" s="2" t="e">
        <f t="shared" si="65"/>
        <v>#N/A</v>
      </c>
    </row>
    <row r="1414" spans="6:8" x14ac:dyDescent="0.25">
      <c r="F1414" s="2" t="e">
        <f t="shared" ref="F1414:F1477" si="66">IF(F1413&lt;2,F1413+$D$6,NA())</f>
        <v>#N/A</v>
      </c>
      <c r="G1414" s="2" t="e">
        <f t="shared" ref="G1414:G1477" si="67">IF(ISNA(F1414), NA(),(1+$D$3*$D$6)*G1413+$D$6*$D$4)</f>
        <v>#N/A</v>
      </c>
      <c r="H1414" s="2" t="e">
        <f t="shared" ref="H1414:H1477" si="68">IF(ISNA(G1414),NA(),$D$7*EXP($D$3*F1414)-($D$4/$D$3))</f>
        <v>#N/A</v>
      </c>
    </row>
    <row r="1415" spans="6:8" x14ac:dyDescent="0.25">
      <c r="F1415" s="2" t="e">
        <f t="shared" si="66"/>
        <v>#N/A</v>
      </c>
      <c r="G1415" s="2" t="e">
        <f t="shared" si="67"/>
        <v>#N/A</v>
      </c>
      <c r="H1415" s="2" t="e">
        <f t="shared" si="68"/>
        <v>#N/A</v>
      </c>
    </row>
    <row r="1416" spans="6:8" x14ac:dyDescent="0.25">
      <c r="F1416" s="2" t="e">
        <f t="shared" si="66"/>
        <v>#N/A</v>
      </c>
      <c r="G1416" s="2" t="e">
        <f t="shared" si="67"/>
        <v>#N/A</v>
      </c>
      <c r="H1416" s="2" t="e">
        <f t="shared" si="68"/>
        <v>#N/A</v>
      </c>
    </row>
    <row r="1417" spans="6:8" x14ac:dyDescent="0.25">
      <c r="F1417" s="2" t="e">
        <f t="shared" si="66"/>
        <v>#N/A</v>
      </c>
      <c r="G1417" s="2" t="e">
        <f t="shared" si="67"/>
        <v>#N/A</v>
      </c>
      <c r="H1417" s="2" t="e">
        <f t="shared" si="68"/>
        <v>#N/A</v>
      </c>
    </row>
    <row r="1418" spans="6:8" x14ac:dyDescent="0.25">
      <c r="F1418" s="2" t="e">
        <f t="shared" si="66"/>
        <v>#N/A</v>
      </c>
      <c r="G1418" s="2" t="e">
        <f t="shared" si="67"/>
        <v>#N/A</v>
      </c>
      <c r="H1418" s="2" t="e">
        <f t="shared" si="68"/>
        <v>#N/A</v>
      </c>
    </row>
    <row r="1419" spans="6:8" x14ac:dyDescent="0.25">
      <c r="F1419" s="2" t="e">
        <f t="shared" si="66"/>
        <v>#N/A</v>
      </c>
      <c r="G1419" s="2" t="e">
        <f t="shared" si="67"/>
        <v>#N/A</v>
      </c>
      <c r="H1419" s="2" t="e">
        <f t="shared" si="68"/>
        <v>#N/A</v>
      </c>
    </row>
    <row r="1420" spans="6:8" x14ac:dyDescent="0.25">
      <c r="F1420" s="2" t="e">
        <f t="shared" si="66"/>
        <v>#N/A</v>
      </c>
      <c r="G1420" s="2" t="e">
        <f t="shared" si="67"/>
        <v>#N/A</v>
      </c>
      <c r="H1420" s="2" t="e">
        <f t="shared" si="68"/>
        <v>#N/A</v>
      </c>
    </row>
    <row r="1421" spans="6:8" x14ac:dyDescent="0.25">
      <c r="F1421" s="2" t="e">
        <f t="shared" si="66"/>
        <v>#N/A</v>
      </c>
      <c r="G1421" s="2" t="e">
        <f t="shared" si="67"/>
        <v>#N/A</v>
      </c>
      <c r="H1421" s="2" t="e">
        <f t="shared" si="68"/>
        <v>#N/A</v>
      </c>
    </row>
    <row r="1422" spans="6:8" x14ac:dyDescent="0.25">
      <c r="F1422" s="2" t="e">
        <f t="shared" si="66"/>
        <v>#N/A</v>
      </c>
      <c r="G1422" s="2" t="e">
        <f t="shared" si="67"/>
        <v>#N/A</v>
      </c>
      <c r="H1422" s="2" t="e">
        <f t="shared" si="68"/>
        <v>#N/A</v>
      </c>
    </row>
    <row r="1423" spans="6:8" x14ac:dyDescent="0.25">
      <c r="F1423" s="2" t="e">
        <f t="shared" si="66"/>
        <v>#N/A</v>
      </c>
      <c r="G1423" s="2" t="e">
        <f t="shared" si="67"/>
        <v>#N/A</v>
      </c>
      <c r="H1423" s="2" t="e">
        <f t="shared" si="68"/>
        <v>#N/A</v>
      </c>
    </row>
    <row r="1424" spans="6:8" x14ac:dyDescent="0.25">
      <c r="F1424" s="2" t="e">
        <f t="shared" si="66"/>
        <v>#N/A</v>
      </c>
      <c r="G1424" s="2" t="e">
        <f t="shared" si="67"/>
        <v>#N/A</v>
      </c>
      <c r="H1424" s="2" t="e">
        <f t="shared" si="68"/>
        <v>#N/A</v>
      </c>
    </row>
    <row r="1425" spans="6:8" x14ac:dyDescent="0.25">
      <c r="F1425" s="2" t="e">
        <f t="shared" si="66"/>
        <v>#N/A</v>
      </c>
      <c r="G1425" s="2" t="e">
        <f t="shared" si="67"/>
        <v>#N/A</v>
      </c>
      <c r="H1425" s="2" t="e">
        <f t="shared" si="68"/>
        <v>#N/A</v>
      </c>
    </row>
    <row r="1426" spans="6:8" x14ac:dyDescent="0.25">
      <c r="F1426" s="2" t="e">
        <f t="shared" si="66"/>
        <v>#N/A</v>
      </c>
      <c r="G1426" s="2" t="e">
        <f t="shared" si="67"/>
        <v>#N/A</v>
      </c>
      <c r="H1426" s="2" t="e">
        <f t="shared" si="68"/>
        <v>#N/A</v>
      </c>
    </row>
    <row r="1427" spans="6:8" x14ac:dyDescent="0.25">
      <c r="F1427" s="2" t="e">
        <f t="shared" si="66"/>
        <v>#N/A</v>
      </c>
      <c r="G1427" s="2" t="e">
        <f t="shared" si="67"/>
        <v>#N/A</v>
      </c>
      <c r="H1427" s="2" t="e">
        <f t="shared" si="68"/>
        <v>#N/A</v>
      </c>
    </row>
    <row r="1428" spans="6:8" x14ac:dyDescent="0.25">
      <c r="F1428" s="2" t="e">
        <f t="shared" si="66"/>
        <v>#N/A</v>
      </c>
      <c r="G1428" s="2" t="e">
        <f t="shared" si="67"/>
        <v>#N/A</v>
      </c>
      <c r="H1428" s="2" t="e">
        <f t="shared" si="68"/>
        <v>#N/A</v>
      </c>
    </row>
    <row r="1429" spans="6:8" x14ac:dyDescent="0.25">
      <c r="F1429" s="2" t="e">
        <f t="shared" si="66"/>
        <v>#N/A</v>
      </c>
      <c r="G1429" s="2" t="e">
        <f t="shared" si="67"/>
        <v>#N/A</v>
      </c>
      <c r="H1429" s="2" t="e">
        <f t="shared" si="68"/>
        <v>#N/A</v>
      </c>
    </row>
    <row r="1430" spans="6:8" x14ac:dyDescent="0.25">
      <c r="F1430" s="2" t="e">
        <f t="shared" si="66"/>
        <v>#N/A</v>
      </c>
      <c r="G1430" s="2" t="e">
        <f t="shared" si="67"/>
        <v>#N/A</v>
      </c>
      <c r="H1430" s="2" t="e">
        <f t="shared" si="68"/>
        <v>#N/A</v>
      </c>
    </row>
    <row r="1431" spans="6:8" x14ac:dyDescent="0.25">
      <c r="F1431" s="2" t="e">
        <f t="shared" si="66"/>
        <v>#N/A</v>
      </c>
      <c r="G1431" s="2" t="e">
        <f t="shared" si="67"/>
        <v>#N/A</v>
      </c>
      <c r="H1431" s="2" t="e">
        <f t="shared" si="68"/>
        <v>#N/A</v>
      </c>
    </row>
    <row r="1432" spans="6:8" x14ac:dyDescent="0.25">
      <c r="F1432" s="2" t="e">
        <f t="shared" si="66"/>
        <v>#N/A</v>
      </c>
      <c r="G1432" s="2" t="e">
        <f t="shared" si="67"/>
        <v>#N/A</v>
      </c>
      <c r="H1432" s="2" t="e">
        <f t="shared" si="68"/>
        <v>#N/A</v>
      </c>
    </row>
    <row r="1433" spans="6:8" x14ac:dyDescent="0.25">
      <c r="F1433" s="2" t="e">
        <f t="shared" si="66"/>
        <v>#N/A</v>
      </c>
      <c r="G1433" s="2" t="e">
        <f t="shared" si="67"/>
        <v>#N/A</v>
      </c>
      <c r="H1433" s="2" t="e">
        <f t="shared" si="68"/>
        <v>#N/A</v>
      </c>
    </row>
    <row r="1434" spans="6:8" x14ac:dyDescent="0.25">
      <c r="F1434" s="2" t="e">
        <f t="shared" si="66"/>
        <v>#N/A</v>
      </c>
      <c r="G1434" s="2" t="e">
        <f t="shared" si="67"/>
        <v>#N/A</v>
      </c>
      <c r="H1434" s="2" t="e">
        <f t="shared" si="68"/>
        <v>#N/A</v>
      </c>
    </row>
    <row r="1435" spans="6:8" x14ac:dyDescent="0.25">
      <c r="F1435" s="2" t="e">
        <f t="shared" si="66"/>
        <v>#N/A</v>
      </c>
      <c r="G1435" s="2" t="e">
        <f t="shared" si="67"/>
        <v>#N/A</v>
      </c>
      <c r="H1435" s="2" t="e">
        <f t="shared" si="68"/>
        <v>#N/A</v>
      </c>
    </row>
    <row r="1436" spans="6:8" x14ac:dyDescent="0.25">
      <c r="F1436" s="2" t="e">
        <f t="shared" si="66"/>
        <v>#N/A</v>
      </c>
      <c r="G1436" s="2" t="e">
        <f t="shared" si="67"/>
        <v>#N/A</v>
      </c>
      <c r="H1436" s="2" t="e">
        <f t="shared" si="68"/>
        <v>#N/A</v>
      </c>
    </row>
    <row r="1437" spans="6:8" x14ac:dyDescent="0.25">
      <c r="F1437" s="2" t="e">
        <f t="shared" si="66"/>
        <v>#N/A</v>
      </c>
      <c r="G1437" s="2" t="e">
        <f t="shared" si="67"/>
        <v>#N/A</v>
      </c>
      <c r="H1437" s="2" t="e">
        <f t="shared" si="68"/>
        <v>#N/A</v>
      </c>
    </row>
    <row r="1438" spans="6:8" x14ac:dyDescent="0.25">
      <c r="F1438" s="2" t="e">
        <f t="shared" si="66"/>
        <v>#N/A</v>
      </c>
      <c r="G1438" s="2" t="e">
        <f t="shared" si="67"/>
        <v>#N/A</v>
      </c>
      <c r="H1438" s="2" t="e">
        <f t="shared" si="68"/>
        <v>#N/A</v>
      </c>
    </row>
    <row r="1439" spans="6:8" x14ac:dyDescent="0.25">
      <c r="F1439" s="2" t="e">
        <f t="shared" si="66"/>
        <v>#N/A</v>
      </c>
      <c r="G1439" s="2" t="e">
        <f t="shared" si="67"/>
        <v>#N/A</v>
      </c>
      <c r="H1439" s="2" t="e">
        <f t="shared" si="68"/>
        <v>#N/A</v>
      </c>
    </row>
    <row r="1440" spans="6:8" x14ac:dyDescent="0.25">
      <c r="F1440" s="2" t="e">
        <f t="shared" si="66"/>
        <v>#N/A</v>
      </c>
      <c r="G1440" s="2" t="e">
        <f t="shared" si="67"/>
        <v>#N/A</v>
      </c>
      <c r="H1440" s="2" t="e">
        <f t="shared" si="68"/>
        <v>#N/A</v>
      </c>
    </row>
    <row r="1441" spans="6:8" x14ac:dyDescent="0.25">
      <c r="F1441" s="2" t="e">
        <f t="shared" si="66"/>
        <v>#N/A</v>
      </c>
      <c r="G1441" s="2" t="e">
        <f t="shared" si="67"/>
        <v>#N/A</v>
      </c>
      <c r="H1441" s="2" t="e">
        <f t="shared" si="68"/>
        <v>#N/A</v>
      </c>
    </row>
    <row r="1442" spans="6:8" x14ac:dyDescent="0.25">
      <c r="F1442" s="2" t="e">
        <f t="shared" si="66"/>
        <v>#N/A</v>
      </c>
      <c r="G1442" s="2" t="e">
        <f t="shared" si="67"/>
        <v>#N/A</v>
      </c>
      <c r="H1442" s="2" t="e">
        <f t="shared" si="68"/>
        <v>#N/A</v>
      </c>
    </row>
    <row r="1443" spans="6:8" x14ac:dyDescent="0.25">
      <c r="F1443" s="2" t="e">
        <f t="shared" si="66"/>
        <v>#N/A</v>
      </c>
      <c r="G1443" s="2" t="e">
        <f t="shared" si="67"/>
        <v>#N/A</v>
      </c>
      <c r="H1443" s="2" t="e">
        <f t="shared" si="68"/>
        <v>#N/A</v>
      </c>
    </row>
    <row r="1444" spans="6:8" x14ac:dyDescent="0.25">
      <c r="F1444" s="2" t="e">
        <f t="shared" si="66"/>
        <v>#N/A</v>
      </c>
      <c r="G1444" s="2" t="e">
        <f t="shared" si="67"/>
        <v>#N/A</v>
      </c>
      <c r="H1444" s="2" t="e">
        <f t="shared" si="68"/>
        <v>#N/A</v>
      </c>
    </row>
    <row r="1445" spans="6:8" x14ac:dyDescent="0.25">
      <c r="F1445" s="2" t="e">
        <f t="shared" si="66"/>
        <v>#N/A</v>
      </c>
      <c r="G1445" s="2" t="e">
        <f t="shared" si="67"/>
        <v>#N/A</v>
      </c>
      <c r="H1445" s="2" t="e">
        <f t="shared" si="68"/>
        <v>#N/A</v>
      </c>
    </row>
    <row r="1446" spans="6:8" x14ac:dyDescent="0.25">
      <c r="F1446" s="2" t="e">
        <f t="shared" si="66"/>
        <v>#N/A</v>
      </c>
      <c r="G1446" s="2" t="e">
        <f t="shared" si="67"/>
        <v>#N/A</v>
      </c>
      <c r="H1446" s="2" t="e">
        <f t="shared" si="68"/>
        <v>#N/A</v>
      </c>
    </row>
    <row r="1447" spans="6:8" x14ac:dyDescent="0.25">
      <c r="F1447" s="2" t="e">
        <f t="shared" si="66"/>
        <v>#N/A</v>
      </c>
      <c r="G1447" s="2" t="e">
        <f t="shared" si="67"/>
        <v>#N/A</v>
      </c>
      <c r="H1447" s="2" t="e">
        <f t="shared" si="68"/>
        <v>#N/A</v>
      </c>
    </row>
    <row r="1448" spans="6:8" x14ac:dyDescent="0.25">
      <c r="F1448" s="2" t="e">
        <f t="shared" si="66"/>
        <v>#N/A</v>
      </c>
      <c r="G1448" s="2" t="e">
        <f t="shared" si="67"/>
        <v>#N/A</v>
      </c>
      <c r="H1448" s="2" t="e">
        <f t="shared" si="68"/>
        <v>#N/A</v>
      </c>
    </row>
    <row r="1449" spans="6:8" x14ac:dyDescent="0.25">
      <c r="F1449" s="2" t="e">
        <f t="shared" si="66"/>
        <v>#N/A</v>
      </c>
      <c r="G1449" s="2" t="e">
        <f t="shared" si="67"/>
        <v>#N/A</v>
      </c>
      <c r="H1449" s="2" t="e">
        <f t="shared" si="68"/>
        <v>#N/A</v>
      </c>
    </row>
    <row r="1450" spans="6:8" x14ac:dyDescent="0.25">
      <c r="F1450" s="2" t="e">
        <f t="shared" si="66"/>
        <v>#N/A</v>
      </c>
      <c r="G1450" s="2" t="e">
        <f t="shared" si="67"/>
        <v>#N/A</v>
      </c>
      <c r="H1450" s="2" t="e">
        <f t="shared" si="68"/>
        <v>#N/A</v>
      </c>
    </row>
    <row r="1451" spans="6:8" x14ac:dyDescent="0.25">
      <c r="F1451" s="2" t="e">
        <f t="shared" si="66"/>
        <v>#N/A</v>
      </c>
      <c r="G1451" s="2" t="e">
        <f t="shared" si="67"/>
        <v>#N/A</v>
      </c>
      <c r="H1451" s="2" t="e">
        <f t="shared" si="68"/>
        <v>#N/A</v>
      </c>
    </row>
    <row r="1452" spans="6:8" x14ac:dyDescent="0.25">
      <c r="F1452" s="2" t="e">
        <f t="shared" si="66"/>
        <v>#N/A</v>
      </c>
      <c r="G1452" s="2" t="e">
        <f t="shared" si="67"/>
        <v>#N/A</v>
      </c>
      <c r="H1452" s="2" t="e">
        <f t="shared" si="68"/>
        <v>#N/A</v>
      </c>
    </row>
    <row r="1453" spans="6:8" x14ac:dyDescent="0.25">
      <c r="F1453" s="2" t="e">
        <f t="shared" si="66"/>
        <v>#N/A</v>
      </c>
      <c r="G1453" s="2" t="e">
        <f t="shared" si="67"/>
        <v>#N/A</v>
      </c>
      <c r="H1453" s="2" t="e">
        <f t="shared" si="68"/>
        <v>#N/A</v>
      </c>
    </row>
    <row r="1454" spans="6:8" x14ac:dyDescent="0.25">
      <c r="F1454" s="2" t="e">
        <f t="shared" si="66"/>
        <v>#N/A</v>
      </c>
      <c r="G1454" s="2" t="e">
        <f t="shared" si="67"/>
        <v>#N/A</v>
      </c>
      <c r="H1454" s="2" t="e">
        <f t="shared" si="68"/>
        <v>#N/A</v>
      </c>
    </row>
    <row r="1455" spans="6:8" x14ac:dyDescent="0.25">
      <c r="F1455" s="2" t="e">
        <f t="shared" si="66"/>
        <v>#N/A</v>
      </c>
      <c r="G1455" s="2" t="e">
        <f t="shared" si="67"/>
        <v>#N/A</v>
      </c>
      <c r="H1455" s="2" t="e">
        <f t="shared" si="68"/>
        <v>#N/A</v>
      </c>
    </row>
    <row r="1456" spans="6:8" x14ac:dyDescent="0.25">
      <c r="F1456" s="2" t="e">
        <f t="shared" si="66"/>
        <v>#N/A</v>
      </c>
      <c r="G1456" s="2" t="e">
        <f t="shared" si="67"/>
        <v>#N/A</v>
      </c>
      <c r="H1456" s="2" t="e">
        <f t="shared" si="68"/>
        <v>#N/A</v>
      </c>
    </row>
    <row r="1457" spans="6:8" x14ac:dyDescent="0.25">
      <c r="F1457" s="2" t="e">
        <f t="shared" si="66"/>
        <v>#N/A</v>
      </c>
      <c r="G1457" s="2" t="e">
        <f t="shared" si="67"/>
        <v>#N/A</v>
      </c>
      <c r="H1457" s="2" t="e">
        <f t="shared" si="68"/>
        <v>#N/A</v>
      </c>
    </row>
    <row r="1458" spans="6:8" x14ac:dyDescent="0.25">
      <c r="F1458" s="2" t="e">
        <f t="shared" si="66"/>
        <v>#N/A</v>
      </c>
      <c r="G1458" s="2" t="e">
        <f t="shared" si="67"/>
        <v>#N/A</v>
      </c>
      <c r="H1458" s="2" t="e">
        <f t="shared" si="68"/>
        <v>#N/A</v>
      </c>
    </row>
    <row r="1459" spans="6:8" x14ac:dyDescent="0.25">
      <c r="F1459" s="2" t="e">
        <f t="shared" si="66"/>
        <v>#N/A</v>
      </c>
      <c r="G1459" s="2" t="e">
        <f t="shared" si="67"/>
        <v>#N/A</v>
      </c>
      <c r="H1459" s="2" t="e">
        <f t="shared" si="68"/>
        <v>#N/A</v>
      </c>
    </row>
    <row r="1460" spans="6:8" x14ac:dyDescent="0.25">
      <c r="F1460" s="2" t="e">
        <f t="shared" si="66"/>
        <v>#N/A</v>
      </c>
      <c r="G1460" s="2" t="e">
        <f t="shared" si="67"/>
        <v>#N/A</v>
      </c>
      <c r="H1460" s="2" t="e">
        <f t="shared" si="68"/>
        <v>#N/A</v>
      </c>
    </row>
    <row r="1461" spans="6:8" x14ac:dyDescent="0.25">
      <c r="F1461" s="2" t="e">
        <f t="shared" si="66"/>
        <v>#N/A</v>
      </c>
      <c r="G1461" s="2" t="e">
        <f t="shared" si="67"/>
        <v>#N/A</v>
      </c>
      <c r="H1461" s="2" t="e">
        <f t="shared" si="68"/>
        <v>#N/A</v>
      </c>
    </row>
    <row r="1462" spans="6:8" x14ac:dyDescent="0.25">
      <c r="F1462" s="2" t="e">
        <f t="shared" si="66"/>
        <v>#N/A</v>
      </c>
      <c r="G1462" s="2" t="e">
        <f t="shared" si="67"/>
        <v>#N/A</v>
      </c>
      <c r="H1462" s="2" t="e">
        <f t="shared" si="68"/>
        <v>#N/A</v>
      </c>
    </row>
    <row r="1463" spans="6:8" x14ac:dyDescent="0.25">
      <c r="F1463" s="2" t="e">
        <f t="shared" si="66"/>
        <v>#N/A</v>
      </c>
      <c r="G1463" s="2" t="e">
        <f t="shared" si="67"/>
        <v>#N/A</v>
      </c>
      <c r="H1463" s="2" t="e">
        <f t="shared" si="68"/>
        <v>#N/A</v>
      </c>
    </row>
    <row r="1464" spans="6:8" x14ac:dyDescent="0.25">
      <c r="F1464" s="2" t="e">
        <f t="shared" si="66"/>
        <v>#N/A</v>
      </c>
      <c r="G1464" s="2" t="e">
        <f t="shared" si="67"/>
        <v>#N/A</v>
      </c>
      <c r="H1464" s="2" t="e">
        <f t="shared" si="68"/>
        <v>#N/A</v>
      </c>
    </row>
    <row r="1465" spans="6:8" x14ac:dyDescent="0.25">
      <c r="F1465" s="2" t="e">
        <f t="shared" si="66"/>
        <v>#N/A</v>
      </c>
      <c r="G1465" s="2" t="e">
        <f t="shared" si="67"/>
        <v>#N/A</v>
      </c>
      <c r="H1465" s="2" t="e">
        <f t="shared" si="68"/>
        <v>#N/A</v>
      </c>
    </row>
    <row r="1466" spans="6:8" x14ac:dyDescent="0.25">
      <c r="F1466" s="2" t="e">
        <f t="shared" si="66"/>
        <v>#N/A</v>
      </c>
      <c r="G1466" s="2" t="e">
        <f t="shared" si="67"/>
        <v>#N/A</v>
      </c>
      <c r="H1466" s="2" t="e">
        <f t="shared" si="68"/>
        <v>#N/A</v>
      </c>
    </row>
    <row r="1467" spans="6:8" x14ac:dyDescent="0.25">
      <c r="F1467" s="2" t="e">
        <f t="shared" si="66"/>
        <v>#N/A</v>
      </c>
      <c r="G1467" s="2" t="e">
        <f t="shared" si="67"/>
        <v>#N/A</v>
      </c>
      <c r="H1467" s="2" t="e">
        <f t="shared" si="68"/>
        <v>#N/A</v>
      </c>
    </row>
    <row r="1468" spans="6:8" x14ac:dyDescent="0.25">
      <c r="F1468" s="2" t="e">
        <f t="shared" si="66"/>
        <v>#N/A</v>
      </c>
      <c r="G1468" s="2" t="e">
        <f t="shared" si="67"/>
        <v>#N/A</v>
      </c>
      <c r="H1468" s="2" t="e">
        <f t="shared" si="68"/>
        <v>#N/A</v>
      </c>
    </row>
    <row r="1469" spans="6:8" x14ac:dyDescent="0.25">
      <c r="F1469" s="2" t="e">
        <f t="shared" si="66"/>
        <v>#N/A</v>
      </c>
      <c r="G1469" s="2" t="e">
        <f t="shared" si="67"/>
        <v>#N/A</v>
      </c>
      <c r="H1469" s="2" t="e">
        <f t="shared" si="68"/>
        <v>#N/A</v>
      </c>
    </row>
    <row r="1470" spans="6:8" x14ac:dyDescent="0.25">
      <c r="F1470" s="2" t="e">
        <f t="shared" si="66"/>
        <v>#N/A</v>
      </c>
      <c r="G1470" s="2" t="e">
        <f t="shared" si="67"/>
        <v>#N/A</v>
      </c>
      <c r="H1470" s="2" t="e">
        <f t="shared" si="68"/>
        <v>#N/A</v>
      </c>
    </row>
    <row r="1471" spans="6:8" x14ac:dyDescent="0.25">
      <c r="F1471" s="2" t="e">
        <f t="shared" si="66"/>
        <v>#N/A</v>
      </c>
      <c r="G1471" s="2" t="e">
        <f t="shared" si="67"/>
        <v>#N/A</v>
      </c>
      <c r="H1471" s="2" t="e">
        <f t="shared" si="68"/>
        <v>#N/A</v>
      </c>
    </row>
    <row r="1472" spans="6:8" x14ac:dyDescent="0.25">
      <c r="F1472" s="2" t="e">
        <f t="shared" si="66"/>
        <v>#N/A</v>
      </c>
      <c r="G1472" s="2" t="e">
        <f t="shared" si="67"/>
        <v>#N/A</v>
      </c>
      <c r="H1472" s="2" t="e">
        <f t="shared" si="68"/>
        <v>#N/A</v>
      </c>
    </row>
    <row r="1473" spans="6:8" x14ac:dyDescent="0.25">
      <c r="F1473" s="2" t="e">
        <f t="shared" si="66"/>
        <v>#N/A</v>
      </c>
      <c r="G1473" s="2" t="e">
        <f t="shared" si="67"/>
        <v>#N/A</v>
      </c>
      <c r="H1473" s="2" t="e">
        <f t="shared" si="68"/>
        <v>#N/A</v>
      </c>
    </row>
    <row r="1474" spans="6:8" x14ac:dyDescent="0.25">
      <c r="F1474" s="2" t="e">
        <f t="shared" si="66"/>
        <v>#N/A</v>
      </c>
      <c r="G1474" s="2" t="e">
        <f t="shared" si="67"/>
        <v>#N/A</v>
      </c>
      <c r="H1474" s="2" t="e">
        <f t="shared" si="68"/>
        <v>#N/A</v>
      </c>
    </row>
    <row r="1475" spans="6:8" x14ac:dyDescent="0.25">
      <c r="F1475" s="2" t="e">
        <f t="shared" si="66"/>
        <v>#N/A</v>
      </c>
      <c r="G1475" s="2" t="e">
        <f t="shared" si="67"/>
        <v>#N/A</v>
      </c>
      <c r="H1475" s="2" t="e">
        <f t="shared" si="68"/>
        <v>#N/A</v>
      </c>
    </row>
    <row r="1476" spans="6:8" x14ac:dyDescent="0.25">
      <c r="F1476" s="2" t="e">
        <f t="shared" si="66"/>
        <v>#N/A</v>
      </c>
      <c r="G1476" s="2" t="e">
        <f t="shared" si="67"/>
        <v>#N/A</v>
      </c>
      <c r="H1476" s="2" t="e">
        <f t="shared" si="68"/>
        <v>#N/A</v>
      </c>
    </row>
    <row r="1477" spans="6:8" x14ac:dyDescent="0.25">
      <c r="F1477" s="2" t="e">
        <f t="shared" si="66"/>
        <v>#N/A</v>
      </c>
      <c r="G1477" s="2" t="e">
        <f t="shared" si="67"/>
        <v>#N/A</v>
      </c>
      <c r="H1477" s="2" t="e">
        <f t="shared" si="68"/>
        <v>#N/A</v>
      </c>
    </row>
    <row r="1478" spans="6:8" x14ac:dyDescent="0.25">
      <c r="F1478" s="2" t="e">
        <f t="shared" ref="F1478:F1500" si="69">IF(F1477&lt;2,F1477+$D$6,NA())</f>
        <v>#N/A</v>
      </c>
      <c r="G1478" s="2" t="e">
        <f t="shared" ref="G1478:G1500" si="70">IF(ISNA(F1478), NA(),(1+$D$3*$D$6)*G1477+$D$6*$D$4)</f>
        <v>#N/A</v>
      </c>
      <c r="H1478" s="2" t="e">
        <f t="shared" ref="H1478:H1500" si="71">IF(ISNA(G1478),NA(),$D$7*EXP($D$3*F1478)-($D$4/$D$3))</f>
        <v>#N/A</v>
      </c>
    </row>
    <row r="1479" spans="6:8" x14ac:dyDescent="0.25">
      <c r="F1479" s="2" t="e">
        <f t="shared" si="69"/>
        <v>#N/A</v>
      </c>
      <c r="G1479" s="2" t="e">
        <f t="shared" si="70"/>
        <v>#N/A</v>
      </c>
      <c r="H1479" s="2" t="e">
        <f t="shared" si="71"/>
        <v>#N/A</v>
      </c>
    </row>
    <row r="1480" spans="6:8" x14ac:dyDescent="0.25">
      <c r="F1480" s="2" t="e">
        <f t="shared" si="69"/>
        <v>#N/A</v>
      </c>
      <c r="G1480" s="2" t="e">
        <f t="shared" si="70"/>
        <v>#N/A</v>
      </c>
      <c r="H1480" s="2" t="e">
        <f t="shared" si="71"/>
        <v>#N/A</v>
      </c>
    </row>
    <row r="1481" spans="6:8" x14ac:dyDescent="0.25">
      <c r="F1481" s="2" t="e">
        <f t="shared" si="69"/>
        <v>#N/A</v>
      </c>
      <c r="G1481" s="2" t="e">
        <f t="shared" si="70"/>
        <v>#N/A</v>
      </c>
      <c r="H1481" s="2" t="e">
        <f t="shared" si="71"/>
        <v>#N/A</v>
      </c>
    </row>
    <row r="1482" spans="6:8" x14ac:dyDescent="0.25">
      <c r="F1482" s="2" t="e">
        <f t="shared" si="69"/>
        <v>#N/A</v>
      </c>
      <c r="G1482" s="2" t="e">
        <f t="shared" si="70"/>
        <v>#N/A</v>
      </c>
      <c r="H1482" s="2" t="e">
        <f t="shared" si="71"/>
        <v>#N/A</v>
      </c>
    </row>
    <row r="1483" spans="6:8" x14ac:dyDescent="0.25">
      <c r="F1483" s="2" t="e">
        <f t="shared" si="69"/>
        <v>#N/A</v>
      </c>
      <c r="G1483" s="2" t="e">
        <f t="shared" si="70"/>
        <v>#N/A</v>
      </c>
      <c r="H1483" s="2" t="e">
        <f t="shared" si="71"/>
        <v>#N/A</v>
      </c>
    </row>
    <row r="1484" spans="6:8" x14ac:dyDescent="0.25">
      <c r="F1484" s="2" t="e">
        <f t="shared" si="69"/>
        <v>#N/A</v>
      </c>
      <c r="G1484" s="2" t="e">
        <f t="shared" si="70"/>
        <v>#N/A</v>
      </c>
      <c r="H1484" s="2" t="e">
        <f t="shared" si="71"/>
        <v>#N/A</v>
      </c>
    </row>
    <row r="1485" spans="6:8" x14ac:dyDescent="0.25">
      <c r="F1485" s="2" t="e">
        <f t="shared" si="69"/>
        <v>#N/A</v>
      </c>
      <c r="G1485" s="2" t="e">
        <f t="shared" si="70"/>
        <v>#N/A</v>
      </c>
      <c r="H1485" s="2" t="e">
        <f t="shared" si="71"/>
        <v>#N/A</v>
      </c>
    </row>
    <row r="1486" spans="6:8" x14ac:dyDescent="0.25">
      <c r="F1486" s="2" t="e">
        <f t="shared" si="69"/>
        <v>#N/A</v>
      </c>
      <c r="G1486" s="2" t="e">
        <f t="shared" si="70"/>
        <v>#N/A</v>
      </c>
      <c r="H1486" s="2" t="e">
        <f t="shared" si="71"/>
        <v>#N/A</v>
      </c>
    </row>
    <row r="1487" spans="6:8" x14ac:dyDescent="0.25">
      <c r="F1487" s="2" t="e">
        <f t="shared" si="69"/>
        <v>#N/A</v>
      </c>
      <c r="G1487" s="2" t="e">
        <f t="shared" si="70"/>
        <v>#N/A</v>
      </c>
      <c r="H1487" s="2" t="e">
        <f t="shared" si="71"/>
        <v>#N/A</v>
      </c>
    </row>
    <row r="1488" spans="6:8" x14ac:dyDescent="0.25">
      <c r="F1488" s="2" t="e">
        <f t="shared" si="69"/>
        <v>#N/A</v>
      </c>
      <c r="G1488" s="2" t="e">
        <f t="shared" si="70"/>
        <v>#N/A</v>
      </c>
      <c r="H1488" s="2" t="e">
        <f t="shared" si="71"/>
        <v>#N/A</v>
      </c>
    </row>
    <row r="1489" spans="6:8" x14ac:dyDescent="0.25">
      <c r="F1489" s="2" t="e">
        <f t="shared" si="69"/>
        <v>#N/A</v>
      </c>
      <c r="G1489" s="2" t="e">
        <f t="shared" si="70"/>
        <v>#N/A</v>
      </c>
      <c r="H1489" s="2" t="e">
        <f t="shared" si="71"/>
        <v>#N/A</v>
      </c>
    </row>
    <row r="1490" spans="6:8" x14ac:dyDescent="0.25">
      <c r="F1490" s="2" t="e">
        <f t="shared" si="69"/>
        <v>#N/A</v>
      </c>
      <c r="G1490" s="2" t="e">
        <f t="shared" si="70"/>
        <v>#N/A</v>
      </c>
      <c r="H1490" s="2" t="e">
        <f t="shared" si="71"/>
        <v>#N/A</v>
      </c>
    </row>
    <row r="1491" spans="6:8" x14ac:dyDescent="0.25">
      <c r="F1491" s="2" t="e">
        <f t="shared" si="69"/>
        <v>#N/A</v>
      </c>
      <c r="G1491" s="2" t="e">
        <f t="shared" si="70"/>
        <v>#N/A</v>
      </c>
      <c r="H1491" s="2" t="e">
        <f t="shared" si="71"/>
        <v>#N/A</v>
      </c>
    </row>
    <row r="1492" spans="6:8" x14ac:dyDescent="0.25">
      <c r="F1492" s="2" t="e">
        <f t="shared" si="69"/>
        <v>#N/A</v>
      </c>
      <c r="G1492" s="2" t="e">
        <f t="shared" si="70"/>
        <v>#N/A</v>
      </c>
      <c r="H1492" s="2" t="e">
        <f t="shared" si="71"/>
        <v>#N/A</v>
      </c>
    </row>
    <row r="1493" spans="6:8" x14ac:dyDescent="0.25">
      <c r="F1493" s="2" t="e">
        <f t="shared" si="69"/>
        <v>#N/A</v>
      </c>
      <c r="G1493" s="2" t="e">
        <f t="shared" si="70"/>
        <v>#N/A</v>
      </c>
      <c r="H1493" s="2" t="e">
        <f t="shared" si="71"/>
        <v>#N/A</v>
      </c>
    </row>
    <row r="1494" spans="6:8" x14ac:dyDescent="0.25">
      <c r="F1494" s="2" t="e">
        <f t="shared" si="69"/>
        <v>#N/A</v>
      </c>
      <c r="G1494" s="2" t="e">
        <f t="shared" si="70"/>
        <v>#N/A</v>
      </c>
      <c r="H1494" s="2" t="e">
        <f t="shared" si="71"/>
        <v>#N/A</v>
      </c>
    </row>
    <row r="1495" spans="6:8" x14ac:dyDescent="0.25">
      <c r="F1495" s="2" t="e">
        <f t="shared" si="69"/>
        <v>#N/A</v>
      </c>
      <c r="G1495" s="2" t="e">
        <f t="shared" si="70"/>
        <v>#N/A</v>
      </c>
      <c r="H1495" s="2" t="e">
        <f t="shared" si="71"/>
        <v>#N/A</v>
      </c>
    </row>
    <row r="1496" spans="6:8" x14ac:dyDescent="0.25">
      <c r="F1496" s="2" t="e">
        <f t="shared" si="69"/>
        <v>#N/A</v>
      </c>
      <c r="G1496" s="2" t="e">
        <f t="shared" si="70"/>
        <v>#N/A</v>
      </c>
      <c r="H1496" s="2" t="e">
        <f t="shared" si="71"/>
        <v>#N/A</v>
      </c>
    </row>
    <row r="1497" spans="6:8" x14ac:dyDescent="0.25">
      <c r="F1497" s="2" t="e">
        <f t="shared" si="69"/>
        <v>#N/A</v>
      </c>
      <c r="G1497" s="2" t="e">
        <f t="shared" si="70"/>
        <v>#N/A</v>
      </c>
      <c r="H1497" s="2" t="e">
        <f t="shared" si="71"/>
        <v>#N/A</v>
      </c>
    </row>
    <row r="1498" spans="6:8" x14ac:dyDescent="0.25">
      <c r="F1498" s="2" t="e">
        <f t="shared" si="69"/>
        <v>#N/A</v>
      </c>
      <c r="G1498" s="2" t="e">
        <f t="shared" si="70"/>
        <v>#N/A</v>
      </c>
      <c r="H1498" s="2" t="e">
        <f t="shared" si="71"/>
        <v>#N/A</v>
      </c>
    </row>
    <row r="1499" spans="6:8" x14ac:dyDescent="0.25">
      <c r="F1499" s="2" t="e">
        <f t="shared" si="69"/>
        <v>#N/A</v>
      </c>
      <c r="G1499" s="2" t="e">
        <f t="shared" si="70"/>
        <v>#N/A</v>
      </c>
      <c r="H1499" s="2" t="e">
        <f t="shared" si="71"/>
        <v>#N/A</v>
      </c>
    </row>
    <row r="1500" spans="6:8" x14ac:dyDescent="0.25">
      <c r="F1500" s="2" t="e">
        <f t="shared" si="69"/>
        <v>#N/A</v>
      </c>
      <c r="G1500" s="2" t="e">
        <f t="shared" si="70"/>
        <v>#N/A</v>
      </c>
      <c r="H1500" s="2" t="e">
        <f t="shared" si="71"/>
        <v>#N/A</v>
      </c>
    </row>
    <row r="1501" spans="6:8" x14ac:dyDescent="0.25">
      <c r="G1501" s="2"/>
    </row>
    <row r="1502" spans="6:8" x14ac:dyDescent="0.25">
      <c r="G1502" s="2"/>
    </row>
  </sheetData>
  <conditionalFormatting sqref="F4:H1500">
    <cfRule type="containsText" dxfId="0" priority="2" operator="containsText" text="n">
      <formula>NOT(ISERROR(SEARCH("n",F4)))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386D-A74D-436C-8F52-074D41C80E90}">
  <dimension ref="B3:N16"/>
  <sheetViews>
    <sheetView workbookViewId="0">
      <selection activeCell="M4" sqref="M4"/>
    </sheetView>
  </sheetViews>
  <sheetFormatPr baseColWidth="10" defaultRowHeight="15" x14ac:dyDescent="0.25"/>
  <sheetData>
    <row r="3" spans="2:14" x14ac:dyDescent="0.25">
      <c r="B3" s="20" t="s">
        <v>24</v>
      </c>
      <c r="C3" s="16" t="s">
        <v>25</v>
      </c>
      <c r="D3" s="15" t="s">
        <v>38</v>
      </c>
      <c r="K3" s="14" t="s">
        <v>24</v>
      </c>
      <c r="L3" s="14" t="s">
        <v>40</v>
      </c>
      <c r="M3" s="14" t="s">
        <v>42</v>
      </c>
      <c r="N3" s="14" t="s">
        <v>41</v>
      </c>
    </row>
    <row r="4" spans="2:14" x14ac:dyDescent="0.25">
      <c r="B4" s="2" t="s">
        <v>27</v>
      </c>
      <c r="C4" s="22">
        <v>100</v>
      </c>
      <c r="D4" s="21">
        <f>(C4/$C$16)</f>
        <v>3.1746031746031744E-2</v>
      </c>
      <c r="K4" s="2" t="s">
        <v>37</v>
      </c>
      <c r="L4" s="2">
        <f>MATCH(K4,B4:B15,0)</f>
        <v>12</v>
      </c>
      <c r="M4" s="2" cm="1">
        <f t="array" ref="M4">INDEX(C4:C15,L4,1)</f>
        <v>400</v>
      </c>
      <c r="N4" s="2">
        <f ca="1">SUM(C4       : INDIRECT("C"&amp; L4+3))</f>
        <v>3150</v>
      </c>
    </row>
    <row r="5" spans="2:14" x14ac:dyDescent="0.25">
      <c r="B5" s="2" t="s">
        <v>26</v>
      </c>
      <c r="C5" s="22">
        <v>200</v>
      </c>
      <c r="D5" s="21">
        <f t="shared" ref="D5:D16" si="0">(C5/$C$16)</f>
        <v>6.3492063492063489E-2</v>
      </c>
    </row>
    <row r="6" spans="2:14" x14ac:dyDescent="0.25">
      <c r="B6" s="2" t="s">
        <v>28</v>
      </c>
      <c r="C6" s="22">
        <v>150</v>
      </c>
      <c r="D6" s="21">
        <f t="shared" si="0"/>
        <v>4.7619047619047616E-2</v>
      </c>
    </row>
    <row r="7" spans="2:14" x14ac:dyDescent="0.25">
      <c r="B7" s="2" t="s">
        <v>29</v>
      </c>
      <c r="C7" s="22">
        <v>200</v>
      </c>
      <c r="D7" s="21">
        <f t="shared" si="0"/>
        <v>6.3492063492063489E-2</v>
      </c>
    </row>
    <row r="8" spans="2:14" x14ac:dyDescent="0.25">
      <c r="B8" s="2" t="s">
        <v>30</v>
      </c>
      <c r="C8" s="22">
        <v>225</v>
      </c>
      <c r="D8" s="21">
        <f t="shared" si="0"/>
        <v>7.1428571428571425E-2</v>
      </c>
    </row>
    <row r="9" spans="2:14" x14ac:dyDescent="0.25">
      <c r="B9" s="2" t="s">
        <v>31</v>
      </c>
      <c r="C9" s="22">
        <v>250</v>
      </c>
      <c r="D9" s="21">
        <f t="shared" si="0"/>
        <v>7.9365079365079361E-2</v>
      </c>
    </row>
    <row r="10" spans="2:14" x14ac:dyDescent="0.25">
      <c r="B10" s="2" t="s">
        <v>32</v>
      </c>
      <c r="C10" s="22">
        <v>275</v>
      </c>
      <c r="D10" s="21">
        <f t="shared" si="0"/>
        <v>8.7301587301587297E-2</v>
      </c>
    </row>
    <row r="11" spans="2:14" x14ac:dyDescent="0.25">
      <c r="B11" s="2" t="s">
        <v>33</v>
      </c>
      <c r="C11" s="22">
        <v>300</v>
      </c>
      <c r="D11" s="21">
        <f t="shared" si="0"/>
        <v>9.5238095238095233E-2</v>
      </c>
    </row>
    <row r="12" spans="2:14" x14ac:dyDescent="0.25">
      <c r="B12" s="2" t="s">
        <v>34</v>
      </c>
      <c r="C12" s="22">
        <v>325</v>
      </c>
      <c r="D12" s="21">
        <f t="shared" si="0"/>
        <v>0.10317460317460317</v>
      </c>
    </row>
    <row r="13" spans="2:14" x14ac:dyDescent="0.25">
      <c r="B13" s="2" t="s">
        <v>35</v>
      </c>
      <c r="C13" s="22">
        <v>350</v>
      </c>
      <c r="D13" s="21">
        <f t="shared" si="0"/>
        <v>0.1111111111111111</v>
      </c>
    </row>
    <row r="14" spans="2:14" x14ac:dyDescent="0.25">
      <c r="B14" s="2" t="s">
        <v>36</v>
      </c>
      <c r="C14" s="22">
        <v>375</v>
      </c>
      <c r="D14" s="21">
        <f t="shared" si="0"/>
        <v>0.11904761904761904</v>
      </c>
    </row>
    <row r="15" spans="2:14" x14ac:dyDescent="0.25">
      <c r="B15" s="2" t="s">
        <v>37</v>
      </c>
      <c r="C15" s="22">
        <v>400</v>
      </c>
      <c r="D15" s="21">
        <f t="shared" si="0"/>
        <v>0.12698412698412698</v>
      </c>
    </row>
    <row r="16" spans="2:14" x14ac:dyDescent="0.25">
      <c r="B16" s="17" t="s">
        <v>39</v>
      </c>
      <c r="C16" s="17">
        <f>C4+C5+C6+C7+C8+C9+C10+C11+C12+C13+C14+C15</f>
        <v>3150</v>
      </c>
      <c r="D16" s="23">
        <f t="shared" si="0"/>
        <v>1</v>
      </c>
    </row>
  </sheetData>
  <phoneticPr fontId="1" type="noConversion"/>
  <dataValidations count="1">
    <dataValidation type="list" allowBlank="1" showInputMessage="1" showErrorMessage="1" sqref="K4" xr:uid="{5D84D844-2A00-4FCB-9E92-C1F435CBFF70}">
      <formula1>$B$4:$B$15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0774-BD76-449D-8CDB-FE0BCBC2030F}">
  <dimension ref="B3:I16"/>
  <sheetViews>
    <sheetView workbookViewId="0">
      <selection activeCell="J8" sqref="J8"/>
    </sheetView>
  </sheetViews>
  <sheetFormatPr baseColWidth="10" defaultRowHeight="15" x14ac:dyDescent="0.25"/>
  <cols>
    <col min="9" max="9" width="18" customWidth="1"/>
  </cols>
  <sheetData>
    <row r="3" spans="2:9" x14ac:dyDescent="0.25">
      <c r="B3" s="24" t="s">
        <v>43</v>
      </c>
      <c r="C3" s="24" t="s">
        <v>44</v>
      </c>
      <c r="D3" s="24" t="s">
        <v>45</v>
      </c>
      <c r="E3" s="24" t="s">
        <v>46</v>
      </c>
      <c r="F3" s="24" t="s">
        <v>47</v>
      </c>
      <c r="H3" s="27" t="s">
        <v>44</v>
      </c>
      <c r="I3" s="26">
        <f>IF(I8="Une Solution",(F14-E14-D14)/C14, "")</f>
        <v>1</v>
      </c>
    </row>
    <row r="4" spans="2:9" x14ac:dyDescent="0.25">
      <c r="B4" s="6" t="s">
        <v>48</v>
      </c>
      <c r="C4" s="6">
        <v>2</v>
      </c>
      <c r="D4" s="6">
        <v>3</v>
      </c>
      <c r="E4" s="6">
        <v>5</v>
      </c>
      <c r="F4" s="6">
        <v>10</v>
      </c>
      <c r="H4" s="29" t="s">
        <v>45</v>
      </c>
      <c r="I4" s="26">
        <f>IF(I8="Une Solution",(F15-E15*I5)/D15, "")</f>
        <v>-3.8991596638655466</v>
      </c>
    </row>
    <row r="5" spans="2:9" x14ac:dyDescent="0.25">
      <c r="B5" s="25" t="s">
        <v>49</v>
      </c>
      <c r="C5" s="25">
        <v>3</v>
      </c>
      <c r="D5" s="25">
        <v>-4</v>
      </c>
      <c r="E5" s="25">
        <v>1</v>
      </c>
      <c r="F5" s="25">
        <v>11</v>
      </c>
      <c r="H5" s="27" t="s">
        <v>46</v>
      </c>
      <c r="I5" s="26">
        <f>IF(I8="Une Solution",F16/E16, "")</f>
        <v>5.7142857142857144</v>
      </c>
    </row>
    <row r="6" spans="2:9" x14ac:dyDescent="0.25">
      <c r="B6" s="6" t="s">
        <v>50</v>
      </c>
      <c r="C6" s="6">
        <v>-5</v>
      </c>
      <c r="D6" s="6">
        <v>1</v>
      </c>
      <c r="E6" s="6">
        <v>1</v>
      </c>
      <c r="F6" s="6">
        <v>19</v>
      </c>
    </row>
    <row r="7" spans="2:9" x14ac:dyDescent="0.25">
      <c r="B7" s="12"/>
      <c r="C7" s="12"/>
      <c r="D7" s="12"/>
      <c r="E7" s="12"/>
      <c r="F7" s="12"/>
    </row>
    <row r="8" spans="2:9" x14ac:dyDescent="0.25">
      <c r="B8" s="24" t="s">
        <v>51</v>
      </c>
      <c r="C8" s="24" t="s">
        <v>44</v>
      </c>
      <c r="D8" s="24" t="s">
        <v>45</v>
      </c>
      <c r="E8" s="24" t="s">
        <v>46</v>
      </c>
      <c r="F8" s="24" t="s">
        <v>47</v>
      </c>
      <c r="H8" s="28" t="s">
        <v>53</v>
      </c>
      <c r="I8" s="2" t="str">
        <f>IF(E16=0,IF(F16=0,"INFINI", "Aucune"), "Une Solution")</f>
        <v>Une Solution</v>
      </c>
    </row>
    <row r="9" spans="2:9" x14ac:dyDescent="0.25">
      <c r="B9" s="6" t="s">
        <v>48</v>
      </c>
      <c r="C9" s="6">
        <f>C4</f>
        <v>2</v>
      </c>
      <c r="D9" s="6">
        <f>D4</f>
        <v>3</v>
      </c>
      <c r="E9" s="6">
        <f>E4</f>
        <v>5</v>
      </c>
      <c r="F9" s="6">
        <f>F4</f>
        <v>10</v>
      </c>
    </row>
    <row r="10" spans="2:9" x14ac:dyDescent="0.25">
      <c r="B10" s="25" t="s">
        <v>49</v>
      </c>
      <c r="C10" s="25">
        <f>$C$4*C5-$C$5*C4</f>
        <v>0</v>
      </c>
      <c r="D10" s="25">
        <f>$C$4*D5-$C$5*D4</f>
        <v>-17</v>
      </c>
      <c r="E10" s="25">
        <f>$C$4*E5-$C$5*E4</f>
        <v>-13</v>
      </c>
      <c r="F10" s="25">
        <f t="shared" ref="F10" si="0">$C$4*F5-$C$5*F4</f>
        <v>-8</v>
      </c>
    </row>
    <row r="11" spans="2:9" x14ac:dyDescent="0.25">
      <c r="B11" s="6" t="s">
        <v>50</v>
      </c>
      <c r="C11" s="6">
        <f>$C$4*C6-$C$6*C4</f>
        <v>0</v>
      </c>
      <c r="D11" s="6">
        <f>$C$4*D6-$C$6*D4</f>
        <v>17</v>
      </c>
      <c r="E11" s="6">
        <f>$C$4*E6-$C$6*E4</f>
        <v>27</v>
      </c>
      <c r="F11" s="6">
        <f t="shared" ref="F11" si="1">$C$4*F6-$C$6*F4</f>
        <v>88</v>
      </c>
    </row>
    <row r="12" spans="2:9" x14ac:dyDescent="0.25">
      <c r="B12" s="12"/>
      <c r="C12" s="12"/>
      <c r="D12" s="12"/>
      <c r="E12" s="12"/>
      <c r="F12" s="12"/>
    </row>
    <row r="13" spans="2:9" x14ac:dyDescent="0.25">
      <c r="B13" s="24" t="s">
        <v>52</v>
      </c>
      <c r="C13" s="24" t="s">
        <v>44</v>
      </c>
      <c r="D13" s="24" t="s">
        <v>45</v>
      </c>
      <c r="E13" s="24" t="s">
        <v>46</v>
      </c>
      <c r="F13" s="24" t="s">
        <v>47</v>
      </c>
    </row>
    <row r="14" spans="2:9" x14ac:dyDescent="0.25">
      <c r="B14" s="6" t="s">
        <v>48</v>
      </c>
      <c r="C14" s="6">
        <f t="shared" ref="C14:F15" si="2">C9</f>
        <v>2</v>
      </c>
      <c r="D14" s="6">
        <f t="shared" si="2"/>
        <v>3</v>
      </c>
      <c r="E14" s="6">
        <f t="shared" si="2"/>
        <v>5</v>
      </c>
      <c r="F14" s="6">
        <f t="shared" si="2"/>
        <v>10</v>
      </c>
    </row>
    <row r="15" spans="2:9" x14ac:dyDescent="0.25">
      <c r="B15" s="25" t="s">
        <v>49</v>
      </c>
      <c r="C15" s="25">
        <f t="shared" si="2"/>
        <v>0</v>
      </c>
      <c r="D15" s="25">
        <f t="shared" si="2"/>
        <v>-17</v>
      </c>
      <c r="E15" s="25">
        <f t="shared" si="2"/>
        <v>-13</v>
      </c>
      <c r="F15" s="25">
        <f t="shared" si="2"/>
        <v>-8</v>
      </c>
    </row>
    <row r="16" spans="2:9" x14ac:dyDescent="0.25">
      <c r="B16" s="6" t="s">
        <v>50</v>
      </c>
      <c r="C16" s="6">
        <f>$D$10*C11-$D$11*C10</f>
        <v>0</v>
      </c>
      <c r="D16" s="6">
        <f>$D$10*D11-$D$11*D10</f>
        <v>0</v>
      </c>
      <c r="E16" s="6">
        <f>$D$10*E11-$D$11*E10</f>
        <v>-238</v>
      </c>
      <c r="F16" s="6">
        <f>$D$10*F11-$D$11*F10</f>
        <v>-1360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Part-1</vt:lpstr>
      <vt:lpstr>Part-2</vt:lpstr>
      <vt:lpstr>Part-3</vt:lpstr>
      <vt:lpstr>Part-4</vt:lpstr>
      <vt:lpstr>Part-5</vt:lpstr>
      <vt:lpstr>Part-7</vt:lpstr>
      <vt:lpstr>Part-8</vt:lpstr>
      <vt:lpstr>Part-9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Bernat</dc:creator>
  <cp:lastModifiedBy>Paul Bernat</cp:lastModifiedBy>
  <dcterms:created xsi:type="dcterms:W3CDTF">2026-02-11T12:54:12Z</dcterms:created>
  <dcterms:modified xsi:type="dcterms:W3CDTF">2026-06-16T13:23:23Z</dcterms:modified>
</cp:coreProperties>
</file>